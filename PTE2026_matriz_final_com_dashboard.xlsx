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 - Matriz de avaliação" sheetId="1" r:id="rId5"/>
    <sheet state="visible" name="Dashboard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0 - iniciativa local não possui conexões evidentes com um contexto territorial ampliado;
1 - iniciativa possui conexões evidentes para além do seu local sede, mas ainda incipientes;
2 - iniciativa realizada em contexto de cooperação ampla envolvendo mais de um território ou estado.
</t>
      </text>
    </comment>
    <comment authorId="0" ref="J4">
      <text>
        <t xml:space="preserve">Glória do Goitá/PE (centro municipal). Fonte: coordenadas geográficas IBGE/OpenStreetMap</t>
      </text>
    </comment>
    <comment authorId="0" ref="K4">
      <text>
        <t xml:space="preserve">Glória do Goitá/PE (centro municipal). Fonte: coordenadas geográficas IBGE/OpenStreetMap</t>
      </text>
    </comment>
    <comment authorId="0" ref="F5">
      <text>
        <t xml:space="preserve">Lucas Fernandes:
Instituto Palmas de Desenvolvimento e Socioeconomia Solidária (Banco Palmas), matriz Fortaleza/CE. Fonte: Mapa das OSC/IPEA. https://mapaosc.ipea.gov.br/detalhar/428717</t>
      </text>
    </comment>
    <comment authorId="0" ref="J5">
      <text>
        <t xml:space="preserve">Fortaleza/CE (centro municipal). Fonte: coordenadas geográficas IBGE/OpenStreetMap</t>
      </text>
    </comment>
    <comment authorId="0" ref="K5">
      <text>
        <t xml:space="preserve">Fortaleza/CE (centro municipal). Fonte: coordenadas geográficas IBGE/OpenStreetMap</t>
      </text>
    </comment>
    <comment authorId="0" ref="F6">
      <text>
        <t xml:space="preserve">Lucas Fernandes:
Conselho Gestor do Fundo Rotativo - COGEFUR, matriz Serrinha/BA. Fonte: Receita Federal (dados abertos); site oficial cogefur.com.br.</t>
      </text>
    </comment>
    <comment authorId="0" ref="J6">
      <text>
        <t xml:space="preserve">Serrinha/BA (centro municipal). Fonte: coordenadas geográficas IBGE/OpenStreetMap</t>
      </text>
    </comment>
    <comment authorId="0" ref="K6">
      <text>
        <t xml:space="preserve">Serrinha/BA (centro municipal). Fonte: coordenadas geográficas IBGE/OpenStreetMap</t>
      </text>
    </comment>
    <comment authorId="0" ref="J7">
      <text>
        <t xml:space="preserve">Araçoiaba/PE (centro municipal). Fonte: coordenadas geográficas IBGE/OpenStreetMap</t>
      </text>
    </comment>
    <comment authorId="0" ref="K7">
      <text>
        <t xml:space="preserve">Araçoiaba/PE (centro municipal). Fonte: coordenadas geográficas IBGE/OpenStreetMap</t>
      </text>
    </comment>
    <comment authorId="0" ref="F8">
      <text>
        <t xml:space="preserve">Lucas Fernandes:
Instituto Conexões Sustentáveis (Conexsus). Fonte: site oficial Conexsus (conexsus.org) e Mapa das OSC/IPEA. CNAE associação de defesa de direitos sociais.</t>
      </text>
    </comment>
    <comment authorId="0" ref="J8">
      <text>
        <t xml:space="preserve">Rio de Janeiro/RJ (centro municipal). Fonte: coordenadas geográficas IBGE/OpenStreetMap</t>
      </text>
    </comment>
    <comment authorId="0" ref="K8">
      <text>
        <t xml:space="preserve">Rio de Janeiro/RJ (centro municipal). Fonte: coordenadas geográficas IBGE/OpenStreetMap</t>
      </text>
    </comment>
    <comment authorId="0" ref="F9">
      <text>
        <t xml:space="preserve">Lucas Fernandes:
Associação de Comercialização Solidária Xique-Xique (nome fantasia Espaço Xique-Xique), Mossoró/RN. Fonte: Receita Federal (dados abertos).</t>
      </text>
    </comment>
    <comment authorId="0" ref="J9">
      <text>
        <t xml:space="preserve">Mossoró/RN (centro municipal). Fonte: coordenadas geográficas IBGE/OpenStreetMap</t>
      </text>
    </comment>
    <comment authorId="0" ref="K9">
      <text>
        <t xml:space="preserve">Mossoró/RN (centro municipal). Fonte: coordenadas geográficas IBGE/OpenStreetMap</t>
      </text>
    </comment>
    <comment authorId="0" ref="I10">
      <text>
        <t xml:space="preserve">Lucas Fernandes:
Fonte: GOV.UK – Memorando de Entendimento Brasil-Reino Unido (Hub de Descarbonização Industrial). https://www.gov.uk/government/publications/industrial-decarbonisation-hub-brazil-uk-memorandum-of-understanding</t>
      </text>
    </comment>
    <comment authorId="0" ref="J10">
      <text>
        <t xml:space="preserve">Brasília/DF (centro municipal). Fonte: coordenadas geográficas IBGE/OpenStreetMap</t>
      </text>
    </comment>
    <comment authorId="0" ref="K10">
      <text>
        <t xml:space="preserve">Brasília/DF (centro municipal). Fonte: coordenadas geográficas IBGE/OpenStreetMap</t>
      </text>
    </comment>
    <comment authorId="0" ref="J11">
      <text>
        <t xml:space="preserve">Recife/PE (centro municipal). Fonte: coordenadas geográficas IBGE/OpenStreetMap</t>
      </text>
    </comment>
    <comment authorId="0" ref="K11">
      <text>
        <t xml:space="preserve">Recife/PE (centro municipal). Fonte: coordenadas geográficas IBGE/OpenStreetMap</t>
      </text>
    </comment>
    <comment authorId="0" ref="J12">
      <text>
        <t xml:space="preserve">Maceió/AL (centro municipal). Fonte: coordenadas geográficas IBGE/OpenStreetMap</t>
      </text>
    </comment>
    <comment authorId="0" ref="K12">
      <text>
        <t xml:space="preserve">Maceió/AL (centro municipal). Fonte: coordenadas geográficas IBGE/OpenStreetMap</t>
      </text>
    </comment>
    <comment authorId="0" ref="J13">
      <text>
        <t xml:space="preserve">Fortaleza/CE (centro municipal). Fonte: coordenadas geográficas IBGE/OpenStreetMap</t>
      </text>
    </comment>
    <comment authorId="0" ref="K13">
      <text>
        <t xml:space="preserve">Fortaleza/CE (centro municipal). Fonte: coordenadas geográficas IBGE/OpenStreetMap</t>
      </text>
    </comment>
    <comment authorId="0" ref="F14">
      <text>
        <t xml:space="preserve">Lucas Fernandes:
SEBRAE Nacional – Serviço Brasileiro de Apoio às Micro e Pequenas Empresas (mantenedor do programa JEPP), sede Brasília/DF. Fonte: edital oficial SEBRAE / Receita Federal.</t>
      </text>
    </comment>
    <comment authorId="0" ref="J14">
      <text>
        <t xml:space="preserve">Corrente/PI (centro municipal). Fonte: coordenadas geográficas IBGE/OpenStreetMap</t>
      </text>
    </comment>
    <comment authorId="0" ref="K14">
      <text>
        <t xml:space="preserve">Corrente/PI (centro municipal). Fonte: coordenadas geográficas IBGE/OpenStreetMap</t>
      </text>
    </comment>
    <comment authorId="0" ref="J15">
      <text>
        <t xml:space="preserve">Petrolina/PE (centro municipal). Fonte: coordenadas geográficas IBGE/OpenStreetMap</t>
      </text>
    </comment>
    <comment authorId="0" ref="K15">
      <text>
        <t xml:space="preserve">Petrolina/PE (centro municipal). Fonte: coordenadas geográficas IBGE/OpenStreetMap</t>
      </text>
    </comment>
    <comment authorId="0" ref="F16">
      <text>
        <t xml:space="preserve">Lucas Fernandes:
Núcleo de Gestão do Porto Digital (NGPD), matriz Recife/PE. Fonte: Receita Federal (dados abertos) e Mapa das OSC/IPEA.</t>
      </text>
    </comment>
    <comment authorId="0" ref="J16">
      <text>
        <t xml:space="preserve">Recife/PE (centro municipal). Fonte: coordenadas geográficas IBGE/OpenStreetMap</t>
      </text>
    </comment>
    <comment authorId="0" ref="K16">
      <text>
        <t xml:space="preserve">Recife/PE (centro municipal). Fonte: coordenadas geográficas IBGE/OpenStreetMap</t>
      </text>
    </comment>
    <comment authorId="0" ref="J17">
      <text>
        <t xml:space="preserve">Salvador/BA (centro municipal). Fonte: coordenadas geográficas IBGE/OpenStreetMap</t>
      </text>
    </comment>
    <comment authorId="0" ref="K17">
      <text>
        <t xml:space="preserve">Salvador/BA (centro municipal). Fonte: coordenadas geográficas IBGE/OpenStreetMap</t>
      </text>
    </comment>
    <comment authorId="0" ref="F18">
      <text>
        <t xml:space="preserve">Lucas Fernandes:
Associação das Comunidades Negras Rurais Quilombolas do Maranhão (ACONERUQ), São Luís/MA. Fonte: Mapa das OSC/IPEA e Receita Federal (dados abertos).</t>
      </text>
    </comment>
    <comment authorId="0" ref="J18">
      <text>
        <t xml:space="preserve">Rio de Janeiro/RJ (centro municipal). Fonte: coordenadas geográficas IBGE/OpenStreetMap</t>
      </text>
    </comment>
    <comment authorId="0" ref="K18">
      <text>
        <t xml:space="preserve">Rio de Janeiro/RJ (centro municipal). Fonte: coordenadas geográficas IBGE/OpenStreetMap</t>
      </text>
    </comment>
    <comment authorId="0" ref="J19">
      <text>
        <t xml:space="preserve">Lucas Fernandes:
Coordenadas do município de Glória do Goitá/PE (centro municipal). Fonte: latitudelongitude.org / mapasapp.com</t>
      </text>
    </comment>
    <comment authorId="0" ref="K19">
      <text>
        <t xml:space="preserve">Lucas Fernandes:
Coordenadas do município de Glória do Goitá/PE (centro municipal). Fonte: latitudelongitude.org / mapasapp.com</t>
      </text>
    </comment>
    <comment authorId="0" ref="J20">
      <text>
        <t xml:space="preserve">Salvador/BA (centro municipal). Fonte: coordenadas geográficas IBGE/OpenStreetMap</t>
      </text>
    </comment>
    <comment authorId="0" ref="K20">
      <text>
        <t xml:space="preserve">Salvador/BA (centro municipal). Fonte: coordenadas geográficas IBGE/OpenStreetMap</t>
      </text>
    </comment>
    <comment authorId="0" ref="F21">
      <text>
        <t xml:space="preserve">Lucas Fernandes:
Associação das Comunidades Negras Rurais Quilombolas do Maranhão (ACONERUQ), São Luís/MA. Fonte: Mapa das OSC/IPEA e Receita Federal (dados abertos).</t>
      </text>
    </comment>
    <comment authorId="0" ref="I21">
      <text>
        <t xml:space="preserve">Lucas Fernandes:
Fonte: Projeto Nova Cartografia Social da Amazônia / ISA – ficha de contatos ACONERUQ. https://acervo.socioambiental.org</t>
      </text>
    </comment>
    <comment authorId="0" ref="J21">
      <text>
        <t xml:space="preserve">São Luís/MA (centro municipal). Fonte: coordenadas geográficas IBGE/OpenStreetMap</t>
      </text>
    </comment>
    <comment authorId="0" ref="K21">
      <text>
        <t xml:space="preserve">São Luís/MA (centro municipal). Fonte: coordenadas geográficas IBGE/OpenStreetMap</t>
      </text>
    </comment>
    <comment authorId="0" ref="J22">
      <text>
        <t xml:space="preserve">Lucas Fernandes:
Coordenadas do município de Glória do Goitá/PE (centro municipal). Fonte: latitudelongitude.org / mapasapp.com</t>
      </text>
    </comment>
    <comment authorId="0" ref="K22">
      <text>
        <t xml:space="preserve">Lucas Fernandes:
Coordenadas do município de Glória do Goitá/PE (centro municipal). Fonte: latitudelongitude.org / mapasapp.com</t>
      </text>
    </comment>
    <comment authorId="0" ref="I23">
      <text>
        <t xml:space="preserve">Lucas Fernandes:
Fonte: AGENDHA – Projeto REDESER (MMA/FAO), Seminário em Piranhas/AL. https://www.agendha.org. Iniciativa sem sede única; localização de referência.</t>
      </text>
    </comment>
    <comment authorId="0" ref="J23">
      <text>
        <t xml:space="preserve">Piranhas/AL (centro municipal, localização de referência do projeto). Fonte: coordenadas geográficas IBGE/OpenStreetMap</t>
      </text>
    </comment>
    <comment authorId="0" ref="K23">
      <text>
        <t xml:space="preserve">Piranhas/AL (centro municipal, localização de referência do projeto). Fonte: coordenadas geográficas IBGE/OpenStreetMap</t>
      </text>
    </comment>
    <comment authorId="0" ref="J24">
      <text>
        <t xml:space="preserve">Teresina/PI (centro municipal). Fonte: coordenadas geográficas IBGE/OpenStreetMap</t>
      </text>
    </comment>
    <comment authorId="0" ref="K24">
      <text>
        <t xml:space="preserve">Teresina/PI (centro municipal). Fonte: coordenadas geográficas IBGE/OpenStreetMap</t>
      </text>
    </comment>
    <comment authorId="0" ref="J25">
      <text>
        <t xml:space="preserve">Ipojuca/PE (centro municipal). Fonte: coordenadas geográficas IBGE/OpenStreetMap</t>
      </text>
    </comment>
    <comment authorId="0" ref="K25">
      <text>
        <t xml:space="preserve">Ipojuca/PE (centro municipal). Fonte: coordenadas geográficas IBGE/OpenStreetMap</t>
      </text>
    </comment>
    <comment authorId="0" ref="F26">
      <text>
        <t xml:space="preserve">Lucas Fernandes:
CNPJ da mantenedora SENAI/Departamento Regional da Bahia (SENAI-DR/BA). O SENAI CIMATEC é unidade mantida, sem CNPJ próprio. Fonte: Estatuto do Centro Universitário SENAI CIMATEC (FIEB).</t>
      </text>
    </comment>
    <comment authorId="0" ref="J26">
      <text>
        <t xml:space="preserve">Salvador/BA (centro municipal). Fonte: coordenadas geográficas IBGE/OpenStreetMap</t>
      </text>
    </comment>
    <comment authorId="0" ref="K26">
      <text>
        <t xml:space="preserve">Salvador/BA (centro municipal). Fonte: coordenadas geográficas IBGE/OpenStreetMap</t>
      </text>
    </comment>
    <comment authorId="0" ref="J27">
      <text>
        <t xml:space="preserve">Natal/RN (centro municipal). Fonte: coordenadas geográficas IBGE/OpenStreetMap</t>
      </text>
    </comment>
    <comment authorId="0" ref="K27">
      <text>
        <t xml:space="preserve">Natal/RN (centro municipal). Fonte: coordenadas geográficas IBGE/OpenStreetMap</t>
      </text>
    </comment>
    <comment authorId="0" ref="J28">
      <text>
        <t xml:space="preserve">Recife/PE (centro municipal). Fonte: coordenadas geográficas IBGE/OpenStreetMap</t>
      </text>
    </comment>
    <comment authorId="0" ref="K28">
      <text>
        <t xml:space="preserve">Recife/PE (centro municipal). Fonte: coordenadas geográficas IBGE/OpenStreetMap</t>
      </text>
    </comment>
    <comment authorId="0" ref="J29">
      <text>
        <t xml:space="preserve">Brasília/DF (centro municipal). Fonte: coordenadas geográficas IBGE/OpenStreetMap</t>
      </text>
    </comment>
    <comment authorId="0" ref="K29">
      <text>
        <t xml:space="preserve">Brasília/DF (centro municipal). Fonte: coordenadas geográficas IBGE/OpenStreetMap</t>
      </text>
    </comment>
    <comment authorId="0" ref="J30">
      <text>
        <t xml:space="preserve">Brasília/DF (centro municipal). Fonte: coordenadas geográficas IBGE/OpenStreetMap</t>
      </text>
    </comment>
    <comment authorId="0" ref="K30">
      <text>
        <t xml:space="preserve">Brasília/DF (centro municipal). Fonte: coordenadas geográficas IBGE/OpenStreetMap</t>
      </text>
    </comment>
    <comment authorId="0" ref="J31">
      <text>
        <t xml:space="preserve">Brasília/DF (centro municipal). Fonte: coordenadas geográficas IBGE/OpenStreetMap</t>
      </text>
    </comment>
    <comment authorId="0" ref="K31">
      <text>
        <t xml:space="preserve">Brasília/DF (centro municipal). Fonte: coordenadas geográficas IBGE/OpenStreetMap</t>
      </text>
    </comment>
    <comment authorId="0" ref="J32">
      <text>
        <t xml:space="preserve">São Luís/MA (centro municipal). Fonte: coordenadas geográficas IBGE/OpenStreetMap</t>
      </text>
    </comment>
    <comment authorId="0" ref="K32">
      <text>
        <t xml:space="preserve">São Luís/MA (centro municipal). Fonte: coordenadas geográficas IBGE/OpenStreetMap</t>
      </text>
    </comment>
    <comment authorId="0" ref="J33">
      <text>
        <t xml:space="preserve">São Luís/MA (centro municipal). Fonte: coordenadas geográficas IBGE/OpenStreetMap</t>
      </text>
    </comment>
    <comment authorId="0" ref="K33">
      <text>
        <t xml:space="preserve">São Luís/MA (centro municipal). Fonte: coordenadas geográficas IBGE/OpenStreetMap</t>
      </text>
    </comment>
    <comment authorId="0" ref="J34">
      <text>
        <t xml:space="preserve">Recife/PE (centro municipal). Fonte: coordenadas geográficas IBGE/OpenStreetMap</t>
      </text>
    </comment>
    <comment authorId="0" ref="K34">
      <text>
        <t xml:space="preserve">Recife/PE (centro municipal). Fonte: coordenadas geográficas IBGE/OpenStreetMap</t>
      </text>
    </comment>
    <comment authorId="0" ref="J35">
      <text>
        <t xml:space="preserve">Brasília/DF (centro municipal). Fonte: coordenadas geográficas IBGE/OpenStreetMap</t>
      </text>
    </comment>
    <comment authorId="0" ref="K35">
      <text>
        <t xml:space="preserve">Brasília/DF (centro municipal). Fonte: coordenadas geográficas IBGE/OpenStreetMap</t>
      </text>
    </comment>
    <comment authorId="0" ref="J36">
      <text>
        <t xml:space="preserve">Delmiro Gouveia/AL (centro municipal). Fonte: coordenadas geográficas IBGE/OpenStreetMap</t>
      </text>
    </comment>
    <comment authorId="0" ref="K36">
      <text>
        <t xml:space="preserve">Delmiro Gouveia/AL (centro municipal). Fonte: coordenadas geográficas IBGE/OpenStreetMap</t>
      </text>
    </comment>
    <comment authorId="0" ref="J37">
      <text>
        <t xml:space="preserve">Fortaleza/CE (centro municipal). Fonte: coordenadas geográficas IBGE/OpenStreetMap</t>
      </text>
    </comment>
    <comment authorId="0" ref="K37">
      <text>
        <t xml:space="preserve">Fortaleza/CE (centro municipal). Fonte: coordenadas geográficas IBGE/OpenStreetMap</t>
      </text>
    </comment>
    <comment authorId="0" ref="J38">
      <text>
        <t xml:space="preserve">Salvador/BA (centro municipal). Fonte: coordenadas geográficas IBGE/OpenStreetMap</t>
      </text>
    </comment>
    <comment authorId="0" ref="K38">
      <text>
        <t xml:space="preserve">Salvador/BA (centro municipal). Fonte: coordenadas geográficas IBGE/OpenStreetMap</t>
      </text>
    </comment>
    <comment authorId="0" ref="F39">
      <text>
        <t xml:space="preserve">Lucas Fernandes:
Solos LTDA, Salvador/BA (startup de economia circular, fundada em 30/01/2018). Fonte: Receita Federal (dados abertos).</t>
      </text>
    </comment>
    <comment authorId="0" ref="I39">
      <text>
        <t xml:space="preserve">Lucas Fernandes:
Fonte: SOLOS – perfil oficial no LinkedIn ("a sede principal da SOLOS está em Salvador, Bahia"). https://br.linkedin.com/company/alimentesolos2</t>
      </text>
    </comment>
    <comment authorId="0" ref="J39">
      <text>
        <t xml:space="preserve">Salvador/BA (centro municipal). Fonte: coordenadas geográficas IBGE/OpenStreetMap</t>
      </text>
    </comment>
    <comment authorId="0" ref="K39">
      <text>
        <t xml:space="preserve">Salvador/BA (centro municipal). Fonte: coordenadas geográficas IBGE/OpenStreetMap</t>
      </text>
    </comment>
    <comment authorId="0" ref="J40">
      <text>
        <t xml:space="preserve">Maceió/AL (centro municipal). Fonte: coordenadas geográficas IBGE/OpenStreetMap</t>
      </text>
    </comment>
    <comment authorId="0" ref="K40">
      <text>
        <t xml:space="preserve">Maceió/AL (centro municipal). Fonte: coordenadas geográficas IBGE/OpenStreetMap</t>
      </text>
    </comment>
    <comment authorId="0" ref="J41">
      <text>
        <t xml:space="preserve">Arês/RN (centro municipal). Fonte: coordenadas geográficas IBGE/OpenStreetMap</t>
      </text>
    </comment>
    <comment authorId="0" ref="K41">
      <text>
        <t xml:space="preserve">Arês/RN (centro municipal). Fonte: coordenadas geográficas IBGE/OpenStreetMap</t>
      </text>
    </comment>
    <comment authorId="0" ref="J42">
      <text>
        <t xml:space="preserve">Salvador/BA (centro municipal). Fonte: coordenadas geográficas IBGE/OpenStreetMap</t>
      </text>
    </comment>
    <comment authorId="0" ref="K42">
      <text>
        <t xml:space="preserve">Salvador/BA (centro municipal). Fonte: coordenadas geográficas IBGE/OpenStreetMap</t>
      </text>
    </comment>
    <comment authorId="0" ref="J43">
      <text>
        <t xml:space="preserve">Tianguá/CE (centro municipal). Fonte: coordenadas geográficas IBGE/OpenStreetMap</t>
      </text>
    </comment>
    <comment authorId="0" ref="K43">
      <text>
        <t xml:space="preserve">Tianguá/CE (centro municipal). Fonte: coordenadas geográficas IBGE/OpenStreetMap</t>
      </text>
    </comment>
    <comment authorId="0" ref="J44">
      <text>
        <t xml:space="preserve">Fortaleza/CE (centro municipal). Fonte: coordenadas geográficas IBGE/OpenStreetMap</t>
      </text>
    </comment>
    <comment authorId="0" ref="K44">
      <text>
        <t xml:space="preserve">Fortaleza/CE (centro municipal). Fonte: coordenadas geográficas IBGE/OpenStreetMap</t>
      </text>
    </comment>
    <comment authorId="0" ref="J45">
      <text>
        <t xml:space="preserve">Fortaleza/CE (centro municipal). Fonte: coordenadas geográficas IBGE/OpenStreetMap</t>
      </text>
    </comment>
    <comment authorId="0" ref="K45">
      <text>
        <t xml:space="preserve">Fortaleza/CE (centro municipal). Fonte: coordenadas geográficas IBGE/OpenStreetMap</t>
      </text>
    </comment>
    <comment authorId="0" ref="J46">
      <text>
        <t xml:space="preserve">Recife/PE (centro municipal). Fonte: coordenadas geográficas IBGE/OpenStreetMap</t>
      </text>
    </comment>
    <comment authorId="0" ref="K46">
      <text>
        <t xml:space="preserve">Recife/PE (centro municipal). Fonte: coordenadas geográficas IBGE/OpenStreetMap</t>
      </text>
    </comment>
    <comment authorId="0" ref="J47">
      <text>
        <t xml:space="preserve">Campina Grande/PB (centro municipal). Fonte: coordenadas geográficas IBGE/OpenStreetMap</t>
      </text>
    </comment>
    <comment authorId="0" ref="K47">
      <text>
        <t xml:space="preserve">Campina Grande/PB (centro municipal). Fonte: coordenadas geográficas IBGE/OpenStreetMap</t>
      </text>
    </comment>
    <comment authorId="0" ref="J48">
      <text>
        <t xml:space="preserve">Fortaleza/CE (centro municipal). Fonte: coordenadas geográficas IBGE/OpenStreetMap</t>
      </text>
    </comment>
    <comment authorId="0" ref="K48">
      <text>
        <t xml:space="preserve">Fortaleza/CE (centro municipal). Fonte: coordenadas geográficas IBGE/OpenStreetMap</t>
      </text>
    </comment>
    <comment authorId="0" ref="J49">
      <text>
        <t xml:space="preserve">Fortaleza/CE (centro municipal). Fonte: coordenadas geográficas IBGE/OpenStreetMap</t>
      </text>
    </comment>
    <comment authorId="0" ref="K49">
      <text>
        <t xml:space="preserve">Fortaleza/CE (centro municipal). Fonte: coordenadas geográficas IBGE/OpenStreetMap</t>
      </text>
    </comment>
    <comment authorId="0" ref="J50">
      <text>
        <t xml:space="preserve">Natal/RN (centro municipal). Fonte: coordenadas geográficas IBGE/OpenStreetMap</t>
      </text>
    </comment>
    <comment authorId="0" ref="K50">
      <text>
        <t xml:space="preserve">Natal/RN (centro municipal). Fonte: coordenadas geográficas IBGE/OpenStreetMap</t>
      </text>
    </comment>
    <comment authorId="0" ref="J51">
      <text>
        <t xml:space="preserve">Rio de Janeiro/RJ (centro municipal). Fonte: coordenadas geográficas IBGE/OpenStreetMap</t>
      </text>
    </comment>
    <comment authorId="0" ref="K51">
      <text>
        <t xml:space="preserve">Rio de Janeiro/RJ (centro municipal). Fonte: coordenadas geográficas IBGE/OpenStreetMap</t>
      </text>
    </comment>
    <comment authorId="0" ref="J52">
      <text>
        <t xml:space="preserve">Brasília/DF (centro municipal). Fonte: coordenadas geográficas IBGE/OpenStreetMap</t>
      </text>
    </comment>
    <comment authorId="0" ref="K52">
      <text>
        <t xml:space="preserve">Brasília/DF (centro municipal). Fonte: coordenadas geográficas IBGE/OpenStreetMap</t>
      </text>
    </comment>
    <comment authorId="0" ref="J53">
      <text>
        <t xml:space="preserve">Pintadas/BA (centro municipal). Fonte: coordenadas geográficas IBGE/OpenStreetMap</t>
      </text>
    </comment>
    <comment authorId="0" ref="K53">
      <text>
        <t xml:space="preserve">Pintadas/BA (centro municipal). Fonte: coordenadas geográficas IBGE/OpenStreetMap</t>
      </text>
    </comment>
    <comment authorId="0" ref="J54">
      <text>
        <t xml:space="preserve">Maceió/AL (centro municipal). Fonte: coordenadas geográficas IBGE/OpenStreetMap</t>
      </text>
    </comment>
    <comment authorId="0" ref="K54">
      <text>
        <t xml:space="preserve">Maceió/AL (centro municipal). Fonte: coordenadas geográficas IBGE/OpenStreetMap</t>
      </text>
    </comment>
    <comment authorId="0" ref="F55">
      <text>
        <t xml:space="preserve">Lucas Fernandes:
Instituto Casaca de Couro, Pirpirituba/PB. Fonte: Mapa das OSC/IPEA e Receita Federal (dados abertos). https://mapaosc.ipea.gov.br/detalhar/1289872</t>
      </text>
    </comment>
    <comment authorId="0" ref="J55">
      <text>
        <t xml:space="preserve">Pirpirituba/PB (centro municipal). Fonte: coordenadas geográficas IBGE/OpenStreetMap</t>
      </text>
    </comment>
    <comment authorId="0" ref="K55">
      <text>
        <t xml:space="preserve">Pirpirituba/PB (centro municipal). Fonte: coordenadas geográficas IBGE/OpenStreetMap</t>
      </text>
    </comment>
  </commentList>
</comments>
</file>

<file path=xl/sharedStrings.xml><?xml version="1.0" encoding="utf-8"?>
<sst xmlns="http://schemas.openxmlformats.org/spreadsheetml/2006/main" count="774" uniqueCount="485">
  <si>
    <t>Projeto Incursões de Campo
Plano Brasil Nordeste de Transformação Ecológica (PTE-NE)
Matriz de Avaliação de Iniciativas</t>
  </si>
  <si>
    <t>ID</t>
  </si>
  <si>
    <t>Iniciativas</t>
  </si>
  <si>
    <t>Objetivo</t>
  </si>
  <si>
    <t>Temática principal</t>
  </si>
  <si>
    <t>Organização Vinculante</t>
  </si>
  <si>
    <t>CNPJ</t>
  </si>
  <si>
    <t>Data de fundação</t>
  </si>
  <si>
    <t>CNAE principal</t>
  </si>
  <si>
    <t>Endereço</t>
  </si>
  <si>
    <t>Latitude</t>
  </si>
  <si>
    <t>Longitude</t>
  </si>
  <si>
    <t>Avaliador(a)</t>
  </si>
  <si>
    <t>Critérios de Estratificação</t>
  </si>
  <si>
    <t>Critérios de Avaliação</t>
  </si>
  <si>
    <t>Análise e evidências</t>
  </si>
  <si>
    <t>Município</t>
  </si>
  <si>
    <t>Estado</t>
  </si>
  <si>
    <t>Biomas</t>
  </si>
  <si>
    <t>Eixos</t>
  </si>
  <si>
    <t>Eixo Secundário</t>
  </si>
  <si>
    <t>Setor</t>
  </si>
  <si>
    <t>Natureza Jurídica</t>
  </si>
  <si>
    <t xml:space="preserve">Salvaguardas socioambientais mínimas </t>
  </si>
  <si>
    <t>Relevância territorial</t>
  </si>
  <si>
    <t>Adaptação e/ou mitigação climática</t>
  </si>
  <si>
    <t>Fortalecimento das cadeias produtivas sustentáveis do Nordeste</t>
  </si>
  <si>
    <t>Viabilidade operacional</t>
  </si>
  <si>
    <t>Potencial de replicabilidade/escala</t>
  </si>
  <si>
    <t>Inovação tecnológica e social</t>
  </si>
  <si>
    <t>Potencial de atração de investimentos verdes/alinhamento a fontes de financiamento climático</t>
  </si>
  <si>
    <t>Inclusão produtiva (trabalho digno)</t>
  </si>
  <si>
    <t>Equidade de gênero, raça e etnia (povos e comunidades tradiocionais)</t>
  </si>
  <si>
    <t>Governança multinível</t>
  </si>
  <si>
    <t>Pontuação</t>
  </si>
  <si>
    <t>Acreditar Microcrédito</t>
  </si>
  <si>
    <t>Oferecer microcrédito produtivo orientado e educação financeira para grupo de mulheres e jovens, com foco em pequenos empreendimentos e agricultura familiar. O projeto tem apoio da Aliança Empreendedora.</t>
  </si>
  <si>
    <t>Microcrédito; Finanças solidárias</t>
  </si>
  <si>
    <t>Acreditar Sociedade de Crédito ao Microempreendedor (com apoio da Aliança Empreendedora)</t>
  </si>
  <si>
    <t>08.834.501/0001-85</t>
  </si>
  <si>
    <t>27/04/2007</t>
  </si>
  <si>
    <t>6499-9/05 – Concessão de crédito pelas OSCIP</t>
  </si>
  <si>
    <t>Rua José de Albuquerque, 27, Apto 101, Centro, CEP 55620-000, Glória do Goitá – PE – Brasil</t>
  </si>
  <si>
    <t>Glória do Goitá</t>
  </si>
  <si>
    <t>PE</t>
  </si>
  <si>
    <t>Mata Atlântica</t>
  </si>
  <si>
    <t>1. Finanças Sustentáveis e Inclusivas</t>
  </si>
  <si>
    <t>Terciário</t>
  </si>
  <si>
    <t>Associação Privada</t>
  </si>
  <si>
    <t>Banco Palmas</t>
  </si>
  <si>
    <t>Democratizar o acesso a serviços financeiros e bancários para a população de baixa renda do Conjunto Palmeiras, impulsionando o desenvolvimento socioeconômico local por meio de banco comunitário, microcrédito, moeda social e apoio a empreendedores do bairro</t>
  </si>
  <si>
    <t>Banco comunitário; moeda social</t>
  </si>
  <si>
    <t>Instituto Palmas de Desenvolvimento e Socioeconomia Solidária</t>
  </si>
  <si>
    <t>05.705.438/0001-99</t>
  </si>
  <si>
    <t>17/06/2003</t>
  </si>
  <si>
    <t>9430-8/00 - Atividades de associações de defesa de direitos sociais</t>
  </si>
  <si>
    <t>Av. Valparaíso, 620–698, Conjunto Palmeiras, CEP 60870-440, Fortaleza – CE – Brasil</t>
  </si>
  <si>
    <t>Fortaleza</t>
  </si>
  <si>
    <t>CE</t>
  </si>
  <si>
    <t>COGEFUR – Conselho Gestor do Fundo Rotativo</t>
  </si>
  <si>
    <t>Articular e gerir fundos rotativos solidários em rede, fortalecendo cooperativas de crédito, associações comunitárias e iniciativas de agricultura familiar por meio de linhas de capital de giro e instrumentos de finanças solidárias.</t>
  </si>
  <si>
    <t>Economia solidária; microcrédito</t>
  </si>
  <si>
    <t>Conselho Gestor do Fundo Rotativo (COGEFUR)</t>
  </si>
  <si>
    <t>04.578.438/0001-02</t>
  </si>
  <si>
    <t>04/07/2001</t>
  </si>
  <si>
    <t>BR-116, km 566, Sítio Alagoinhas, Armazém da Agricultura Familiar, CEP 48.700-000, Serrinha – BA – Brasil</t>
  </si>
  <si>
    <t>Serrinha</t>
  </si>
  <si>
    <t>BA</t>
  </si>
  <si>
    <t>Caatinga</t>
  </si>
  <si>
    <t>Banco Comunitário de Araçoiaba</t>
  </si>
  <si>
    <t>Promover inclusão financeira na RM de Recife por meio da moeda social Caiana, estimulando consumo em comércios locais e acesso a crédito popular.</t>
  </si>
  <si>
    <t>Associação Banco da Cidade (em parceria com a Realiz)</t>
  </si>
  <si>
    <t>Não localizado</t>
  </si>
  <si>
    <t>Não Localizado</t>
  </si>
  <si>
    <t>Av. João Pessoa a Guerra, nº 5 – Centro</t>
  </si>
  <si>
    <t>Araçoiaba</t>
  </si>
  <si>
    <t>Rede de Ativadores de Crédito Socioambiental (Conexsus)</t>
  </si>
  <si>
    <t>Implantar uma rede de ativadores e ativadoras de crédito socioambiental, formada por técnicos/as locais vinculados a negócios comunitários, para destravar o acesso ao crédito rural (especialmente Pronaf) por agricultores familiares, povos e comunidades tradicionais e organizações da sociobiodiversidade, combinando assistência técnica, educação financeira e financiamento crescente para aumento de renda e qualificação produtiva.</t>
  </si>
  <si>
    <t>Instituto Conexões Sustentáveis (Conexsus)</t>
  </si>
  <si>
    <t>10.980.503/0001-24</t>
  </si>
  <si>
    <t>27/05/2009</t>
  </si>
  <si>
    <t>Avenida Rio Branco, 131, sala 203 – Centro, CEP 20040-006, Rio de Janeiro – RJ</t>
  </si>
  <si>
    <t>Mata Atlântica, Caatinga, Cerrado</t>
  </si>
  <si>
    <t>Rede Xique Xique de Comercialização Solidária</t>
  </si>
  <si>
    <t>Organizar grupos de agricultores/as familiares e empreendimentos de economia solidária para produzir, comercializar e certificar alimentos agroecológicos com base em certificação orgânica participativa, articulando agroecologia, feminismo e juventude.</t>
  </si>
  <si>
    <t>Certificação; Serviços ecossistêmicos</t>
  </si>
  <si>
    <t>Associação de Comercialização Solidária Xique-Xique</t>
  </si>
  <si>
    <t>07.194.162/0001-57</t>
  </si>
  <si>
    <t>31/01/2005</t>
  </si>
  <si>
    <t>Rua Luiz Rola, 113, Costa e Silva, Mossoró.</t>
  </si>
  <si>
    <t>Mossoró</t>
  </si>
  <si>
    <t>RN</t>
  </si>
  <si>
    <t>ID Hub Brazil (ID Incubator)</t>
  </si>
  <si>
    <t>Iniciativa entre o governo brasileiro e o governo britânico para formação de um Centro de Descarbonização da Indústria do Brasil, é uma experiência piloto com abrangência nacional e com foco na NIB. Funciona como um escritório de apoio e suporte aos projetos industriais que buscam se adaptar ao processo de transformação ecológica da economia brasileira</t>
  </si>
  <si>
    <t>Facillity; Hub</t>
  </si>
  <si>
    <t>MDIC – Ministério do Desenvolvimento, Indústria, Comércio e Serviços (parceria UNIDO/DESNZ-Reino Unido)</t>
  </si>
  <si>
    <t>00.394.478/0001-43</t>
  </si>
  <si>
    <t>29/11/1974</t>
  </si>
  <si>
    <t>8411-6/00 - Administração pública em geral</t>
  </si>
  <si>
    <t>Esplanada dos Ministérios, Bloco J, sala 400, CEP 70053-900, Brasília – DF (sede do MDIC, coordenador da iniciativa)</t>
  </si>
  <si>
    <t>Brasília</t>
  </si>
  <si>
    <t>BA, PE, CE, RN, AL, PI, PB, SE, MA</t>
  </si>
  <si>
    <t>Cerrado, Caatinga, Mata Atlântica, Amazônia</t>
  </si>
  <si>
    <t>Órgão Público do Poder Executivo Federal</t>
  </si>
  <si>
    <t>Projeto Pacto Global de Jovens pelo Clima - ONU</t>
  </si>
  <si>
    <t>Preparar jovens estudantes, por meio da educação ambiental ativa e participativa, para ocupar os espaços de poder ativamente na luta por justiça socioambiental no contexto das crises climáticas para que se tornem " sentinelas" em defesa do desenvolvimento sustentável local.</t>
  </si>
  <si>
    <t>Educação ambiental, soluções inovadoras de impacto social.</t>
  </si>
  <si>
    <t>Organização das Nações Unidas (ONU) – Pacto Global</t>
  </si>
  <si>
    <t>37.321.091/0001-77</t>
  </si>
  <si>
    <t>11/05/2020</t>
  </si>
  <si>
    <t>Centro de Estudos Avançados, Campus Recife da UFPE, Biblioteca Central -segundo andar, Avenida Reitor Joaquim Amazonas s/n; CEP 50740-570.</t>
  </si>
  <si>
    <t>Recife</t>
  </si>
  <si>
    <t>2. Adensamento Tecnológico</t>
  </si>
  <si>
    <t>OXETECH</t>
  </si>
  <si>
    <t>Promover capacitação técnica e profissiional de qualidade na área de tecnologia e fomentar o empreendedorismo local e a atração de investimentos.</t>
  </si>
  <si>
    <t>Capacitação técnica e profissional em tecnologia, empreendedorismo</t>
  </si>
  <si>
    <t>Governo do Estado de Alagoas – Secretaria de Estado da Ciência, Tecnologia e Inovação (Secti/AL)</t>
  </si>
  <si>
    <t>04.007.216/0001-30</t>
  </si>
  <si>
    <t>04/08/2000</t>
  </si>
  <si>
    <t>Sevretaria de Estado, da Ciência, da Tecnologia e da Inovação - Rua Barão de Jaraguá 580, Maceió, AL, 57022-140</t>
  </si>
  <si>
    <t>Maceió</t>
  </si>
  <si>
    <t>AL</t>
  </si>
  <si>
    <t>Órgão Público do Poder Executivo Estadual</t>
  </si>
  <si>
    <t>Rede MCTI/EMBRAPII de Inovação em Inteligência Artificial</t>
  </si>
  <si>
    <t>Fomentar a capacidade produtiva e a competitividade das empresas brasileiras por meio do uso de tecnologias de fronteiras no processo produtivo da indústria nacional</t>
  </si>
  <si>
    <t>Investimento em PD&amp;I, aumento capacidade produtiva e competitividade de empresas brasileiras</t>
  </si>
  <si>
    <t>MCTI – Ministério da Ciência, Tecnologia e Inovação / EMBRAPII</t>
  </si>
  <si>
    <t>03.132.745/0001-00</t>
  </si>
  <si>
    <t>30/04/1999</t>
  </si>
  <si>
    <t>Rua Nogueira Acioli, 621 - Aldeota. Cep: 60110-140, CE.</t>
  </si>
  <si>
    <t>Mata Atlântica, Cerrado, Amazônia, Caatinga</t>
  </si>
  <si>
    <t>Programa Jovem Empreendedor Primeiros Passos JEPP - SEBRAE</t>
  </si>
  <si>
    <t>Estimular a criatividade e o pensamento crítico, fomentando a “mentalidade empreendedora" de alunos do ensino fundamental de forma lúdica com histórias com temáticas diversas, dente elas a sustentabilidade.</t>
  </si>
  <si>
    <t>Educação empreendedora no ensino básico</t>
  </si>
  <si>
    <t>SEBRAE – Serviço Brasileiro de Apoio às Micro e Pequenas Empresas</t>
  </si>
  <si>
    <t>00.330.845/0001-45</t>
  </si>
  <si>
    <t>24/08/1972</t>
  </si>
  <si>
    <t>7020-4/00 - Atividades de consultoria em gestão empresarial</t>
  </si>
  <si>
    <t>Endereço: Av. Manoel Lourenço Cavalcante - Nova Corrente, Corrente - PI, CEP - 64980-000</t>
  </si>
  <si>
    <t>Corrente</t>
  </si>
  <si>
    <t>PI, CE, MA</t>
  </si>
  <si>
    <t>Serviço Social Autônomo</t>
  </si>
  <si>
    <t>Projeto Etnocaatinga</t>
  </si>
  <si>
    <t>Atuar na conservação e recuperação da Caatinga em territórios tradicionais, utilizando tecnologias sociais e promovendo a inclusão produtiva das comunidades locais.</t>
  </si>
  <si>
    <t>Recaatingamento, tecnologias sociais e inclusão produtiva de comunidades tradicionais e povos originários</t>
  </si>
  <si>
    <t>Projeto Etnocaatinga (organização executora a confirmar)</t>
  </si>
  <si>
    <t>00.348.003/0001-10</t>
  </si>
  <si>
    <t>02/05/1973</t>
  </si>
  <si>
    <t>7210-0/00 - Pesquisa e desenvolvimento experimental em ciências físicas e naturais</t>
  </si>
  <si>
    <t>Projeto atua em 13 territórios tradicionais nos estados da Bahia, Pernambuco e Piauí. Endereço da Embrapa Semiárido: Rodovia BR-428, Km 152, Zona Rural. Petrolina-PE | CEP: 56.334-899</t>
  </si>
  <si>
    <t>Petrolina</t>
  </si>
  <si>
    <t>BA, PE, PI</t>
  </si>
  <si>
    <t>Empresa Pública</t>
  </si>
  <si>
    <t>Parque Tecnológico Porto Digital - PE</t>
  </si>
  <si>
    <t>Atuar como um robusto ecossistema de inovação que integra empresas, governos, universidades, organizações diversas na área de Tecnologia dinamizando a região e alavancando projetos em TI e Economia criativa</t>
  </si>
  <si>
    <t>Ecossistema de inovação, PD&amp;I, Inovação, Negócios, Empreendedorismo Inovador, Economia criativa</t>
  </si>
  <si>
    <t>Núcleo de Gestão do Porto Digital (NGPD)</t>
  </si>
  <si>
    <t>04.203.075/0001-20</t>
  </si>
  <si>
    <t>19/12/2000</t>
  </si>
  <si>
    <t>Cais do Apolo, 222 - Bairro do Recife CEP: 50030-230 Recife - Pernambuco - Brasil</t>
  </si>
  <si>
    <t>Vale do Dendê</t>
  </si>
  <si>
    <t>Fomentar ecossistemas de inovação e criatividade com foco em diversidade atuando em 4 frentes: aceleração de negócios, promoções de eventos, Hubs de apoio para empreendedores e inovação</t>
  </si>
  <si>
    <t>Ecossistema de inovação, empreendedorismo inovador da perifeira.</t>
  </si>
  <si>
    <t>Vale do Dendê (holding social)</t>
  </si>
  <si>
    <t xml:space="preserve">31.186.223/0001-19 </t>
  </si>
  <si>
    <t>31/07/2018</t>
  </si>
  <si>
    <t xml:space="preserve"> 8599-6/04 - Treinamento em desenvolvimento profissional e gerencial</t>
  </si>
  <si>
    <t>Vale do Dendê - Av. Vale do Tororó, Estação da Lapa, s/n - Loja 44 e Vale do Dendê - Pelourinho, R. das Laranjeiras, 2</t>
  </si>
  <si>
    <t>Salvador</t>
  </si>
  <si>
    <t>Programa Sertão Vivo</t>
  </si>
  <si>
    <t>Fortalecer a agricultura familiar no Semiárido, ampliando a resiliência climática, a segurança hídrica e a inclusão produtiva por meio de práticas agroecológicas e investimentos em infraestrutura rural.</t>
  </si>
  <si>
    <t>Agroecologia, convivência com o Semiárido</t>
  </si>
  <si>
    <t>Governo Federal – Ministério do Desenvolvimento Agrário e Agricultura Familiar (MDA), com apoio do FIDA</t>
  </si>
  <si>
    <t>01.612.452/0001-97</t>
  </si>
  <si>
    <t>08/01/1997</t>
  </si>
  <si>
    <t>Av. República do Chile, 100 – 17º andar, Rio de Janeiro – RJ, CEP 20031-917.</t>
  </si>
  <si>
    <t>SE, AL, PE</t>
  </si>
  <si>
    <t>3. Bioeconomia e Sistemas Agroalimentares Adaptados</t>
  </si>
  <si>
    <t>Rota de Saberes e Sabores do Semiárido</t>
  </si>
  <si>
    <t>Valorizar saberes tradicionais, produtos da sociobiodiversidade e gastronomia regional, criando rotas de turismo de base comunitária que geram renda e fortalecem identidades locais.</t>
  </si>
  <si>
    <t>Turismo comunitário sustentável, cadeias agroalimentares regionais e valorização cultural.</t>
  </si>
  <si>
    <t xml:space="preserve"> Embrapa Alimentos e Territórios</t>
  </si>
  <si>
    <t>00.348.003/0025-98</t>
  </si>
  <si>
    <t>02/10/2018</t>
  </si>
  <si>
    <t>R. Cincinato Pinto, 348 - Térreo - Centro, Maceió - AL, 57020-050</t>
  </si>
  <si>
    <t>Rede BATUC - Turismo Comunitário da Bahia</t>
  </si>
  <si>
    <t>Promover o turismo comunitário em comunidades tradicionais da Bahia, fortalecendo economias locais, autonomia social, práticas culturais e conservação ambiental.</t>
  </si>
  <si>
    <t>Turismo comunitário, economia solidária e valorização da sociobiodiversidade.</t>
  </si>
  <si>
    <t>Rede BATUC – Turismo Comunitário da Bahia</t>
  </si>
  <si>
    <t>08.579.242/0001-93</t>
  </si>
  <si>
    <t>01/01/2007</t>
  </si>
  <si>
    <t>Av. Tancredo Neves, 776 – Caminho das Árvores, Salvador/BA – CEP 41.820-904</t>
  </si>
  <si>
    <t>Associação das Comunidades Negras Rurais Quilombolas do Maranhão (ACONERUQ)</t>
  </si>
  <si>
    <t>Fortalecer a autonomia produtiva e territorial de mulheres quilombolas no Nordeste, promovendo práticas agroecológicas, uso sustentável da sociobiodiversidade e integração a cadeias solidárias e comunitárias da bioeconomia.</t>
  </si>
  <si>
    <t>Bioeconomia comunitária, Gênero e justiça socioambiental. Patrimônio Genético, Repartição de Benefícios e Legislação</t>
  </si>
  <si>
    <t>02.786.414/0001-13</t>
  </si>
  <si>
    <t>14/10/1998</t>
  </si>
  <si>
    <t>Rua do Sol, 363, Altos, Centro, CEP 65020-590, São Luís – MA (sede da ACONERUQ)</t>
  </si>
  <si>
    <t>São Luís</t>
  </si>
  <si>
    <t>MA</t>
  </si>
  <si>
    <t>Amazônia, Cerrado</t>
  </si>
  <si>
    <t>Territórios da Cidadania – Plataforma Territorial de Inclusão Produtiva e Bioeconomia Comunitária</t>
  </si>
  <si>
    <t>Promover o desenvolvimento territorial sustentável no Nordeste, fortalecendo a inclusão produtiva, a participação social e a articulação entre políticas públicas para reduzir desigualdades socioeconômicas, estimular atividades produtivas sustentáveis e ampliar o acesso a direitos em territórios rurais, tradicionais e vulnerabilizados.</t>
  </si>
  <si>
    <t>Desenvolvimento territorial sustentável e inclusão produtiva, com foco em organização social, governança territorial e ampliação do acesso a políticas públicas.</t>
  </si>
  <si>
    <t>Governo Federal – Programa Territórios da Cidadania (articulação interministerial)</t>
  </si>
  <si>
    <t>Rede Nordeste de Sociobiodiversidade da Caatinga (Redeser–Terra Plantar) - Consolidação de uma economia de baixo carbono baseada na biodiversidade da Caatinga</t>
  </si>
  <si>
    <t>Promover uma economia regional de baixo carbono no Semiárido nordestino, por meio do uso sustentável da biodiversidade da Caatinga, da inovação produtiva, da restauração ecológica e da organização socioprodutiva de comunidades rurais, fortalecendo cadeias da sociobiodiversidade, ampliando a agregação de valor e garantindo a implementação efetiva da meta de desmatamento zero.</t>
  </si>
  <si>
    <t>Rastreabilidade e Mercados Sustentáveis, Bioeconomia de baixo carbono e sistemas produtivos sustentáveis baseados na biodiversidade da Caatinga.</t>
  </si>
  <si>
    <t>Fundação Araripe</t>
  </si>
  <si>
    <t>Projeto de abrangência regional (Caatinga/NE); ações de referência no Centro Xingó de Convivência com o Semiárido, Piranhas – AL</t>
  </si>
  <si>
    <t>Piranhas</t>
  </si>
  <si>
    <t>Green Energy Park (Piauí)</t>
  </si>
  <si>
    <t>Estabelecer um polo de produção e exportação de Hidrogênio H2V e seus derivados (principalmente Amônia Verde, NH3V) no litoral do Piauí. A iniciativa visa aproveitar o abundante potencial eólico e solar da região para gerar energia limpa em grande escala, descarbonizar o transporte marítimo e a indústria global, e impulsionar a industrialização verde do estado.</t>
  </si>
  <si>
    <t>Transição Energética e a Industrialização Verde; produção de Hidrogênio Verde H2V e Amônia Verde NH3V</t>
  </si>
  <si>
    <t xml:space="preserve"> Green Energy Park Piaui LTDA (GEP-PI)</t>
  </si>
  <si>
    <t>54.443.328/0001-01</t>
  </si>
  <si>
    <t>22/03/2024</t>
  </si>
  <si>
    <t>2014-2/00 - Fabricação de gases industriais</t>
  </si>
  <si>
    <t>Investe Piauí: Av. João XXIII, 6611 – 1º andar, Bairro São Cristovão, Teresina (PI).</t>
  </si>
  <si>
    <t>Teresina</t>
  </si>
  <si>
    <t>PI</t>
  </si>
  <si>
    <t>Cerrado, Caatinga</t>
  </si>
  <si>
    <t>4. Transição Energética</t>
  </si>
  <si>
    <t>Secundário</t>
  </si>
  <si>
    <t>Sociedade Empresária Limitada</t>
  </si>
  <si>
    <t>Logística verde e transição para operações sustentáveis no Porto de Suape (PE)</t>
  </si>
  <si>
    <t>Transformar o complexo industrial portuário em um polo de energia verde e um corredor logístico descarbonizado. Isso será atingido por meio da atração de projetos de Hidrogênio Verde H2V e seus derivados (como amônia aerde e e-metanol) para descarbonizar as operações portuárias, o transporte marítimo e a indústria local, garantindo eficiência e sustentabilidade ambiental na gestão de resíduos e infraestrutura.</t>
  </si>
  <si>
    <t>Descarbonização da cadeia logística; industrialização verde.</t>
  </si>
  <si>
    <t>Complexo Industrial Portuário de Suape – Governo do Estado de Pernambuco</t>
  </si>
  <si>
    <t>11.448.933/0001-62</t>
  </si>
  <si>
    <t>10/04/1979</t>
  </si>
  <si>
    <t>5231-1/02 - Atividades do operador portuário</t>
  </si>
  <si>
    <t xml:space="preserve">Complexo de Suape (Administração): Rodovia PE-60, Km 10 – Engenho Massangana, Ipojuca/PE, CEP 55592-900 
SEDEPE (coordenação política/transição verde): Rua Imperial, 1600 – Bloco A, Bairro São José, Recife/PE, CEP 50090-000 
</t>
  </si>
  <si>
    <t>Ipojuca</t>
  </si>
  <si>
    <t>SENAI CIMATEC – Formação, inovação tecnológica e transição energética (BA)</t>
  </si>
  <si>
    <t>Ser um complexo de educação profissional, pesquisa aplicada e inovação tecnológica, voltado à capacitação de mão de obra especializada e ao desenvolvimento de tecnologias limpas em áreas como hidrogênio verde, bioenergia, armazenamento e smart grids, promovendo a industrialização e a transição energética do Nordeste.</t>
  </si>
  <si>
    <t>Inovação tecnológica e a formação profissional qualificada com foco em H2V, bioenergia e sistemas inteligentes.</t>
  </si>
  <si>
    <t>SENAI – Departamento Regional da Bahia (mantenedora do CIMATEC)</t>
  </si>
  <si>
    <t>03.795.071/0001-16</t>
  </si>
  <si>
    <t>03/05/2000</t>
  </si>
  <si>
    <t>8599-6/99 - Outras atividades de ensino não especificadas anteriormente</t>
  </si>
  <si>
    <t>Endereço: Avenida Orlando Gomes, 1845 – Piatã, Salvador – BA, CEP 41650-010.</t>
  </si>
  <si>
    <t>LabSolar+ – Pesquisa, inovação e capacitação em energia solar (RN)</t>
  </si>
  <si>
    <t>Atuar como um polo de pesquisa aplicada, inovação tecnológica e capacitação profissional em energia solar fotovoltaica, com foco na expansão da geração distribuída, eficiência energética, desenvolvimento de sistemas híbridos solar/eólico e armazenamento de energia (BESS) no Nordeste.</t>
  </si>
  <si>
    <t>Pesquisa Aplicada e Capacitação Profissional focada na expansão da energia solar fotovoltaica e Geração Distribuída</t>
  </si>
  <si>
    <t>LabSolar+ – instituição de pesquisa (RN) (organização executora a confirmar)</t>
  </si>
  <si>
    <t>10.877.412/0001-68</t>
  </si>
  <si>
    <t>29/12/2008</t>
  </si>
  <si>
    <t>8541-4/00 - Educação profissional de nível técnico</t>
  </si>
  <si>
    <t xml:space="preserve">IFRN – Instituto Federal do Rio Grande do Norte, Campus Natal - Zona Norte.
Rua Brusque, 37, Potengi, Natal – RN. CEP: 59129-600
</t>
  </si>
  <si>
    <t>Natal</t>
  </si>
  <si>
    <t>Mata Atlântica, Caatinga</t>
  </si>
  <si>
    <t>Programa 1 Milhão de Tetos Solares (P1MTS) – Nordeste</t>
  </si>
  <si>
    <t>Promover a produção descentralizada de energia fotovoltaica em residências e unidades comunitárias do Semiárido, fortalecendo a autonomia energética, a inclusão social e a justiça climática para famílias de baixa renda e em situação de vulnerabilidade.</t>
  </si>
  <si>
    <t>Justiça climática e inclusão social; produção fotovoltaica comunitária; redução da vulnerabilidade de famílias rurais do Semiárido.</t>
  </si>
  <si>
    <t>Governo Federal / estaduais – Programa 1 Milhão de Tetos Solares (articulação ASA/sociedade civil)</t>
  </si>
  <si>
    <t>05.080.329/0001-23</t>
  </si>
  <si>
    <t>2002</t>
  </si>
  <si>
    <t>Rua Monte Alverne, 287, Bairro do Hipódromo, Recife - PE 
CEP: 52041-610.</t>
  </si>
  <si>
    <t>Mata Atlântica, Caatinga, Cerrado, Amazônia</t>
  </si>
  <si>
    <t>Programa Água Doce – Segurança hídrica e integração energética no Semiárido</t>
  </si>
  <si>
    <t>Promover a dessalinização de águas salobras e salinas, garantindo o abastecimento seguro de água para consumo humano e atividades produtivas em comunidades rurais do Semiárido brasileiro, integrando essa solução com a geração de energia renovável descentralizada.</t>
  </si>
  <si>
    <t>Segurança hídrica e a resiliência climática; inovação tecnológica da dessalinização; Geração Distribuída (GD).</t>
  </si>
  <si>
    <t>Governo Federal – Ministério da Integração e do Desenvolvimento Regional (Programa Água Doce/MMA)</t>
  </si>
  <si>
    <t>03.353.358/0001-96</t>
  </si>
  <si>
    <t>24/08/1999</t>
  </si>
  <si>
    <t>Esplanada dos Ministérios, Bloco E, 3º Andar, Sala 355, Zona Cívico-Administrativa, Brasília/DF.</t>
  </si>
  <si>
    <t>Programa Nacional de Biodigestores e Biogás – Inclusão energética e fortalecimento produtivo no meio rural</t>
  </si>
  <si>
    <t>Promover a implantação descentralizada de biodigestores em propriedades rurais, assentamentos e comunidades tradicionais, com foco na produção de biogás, biometano e biofertilizantes, visando a mitigação de emissões, a inclusão energética e o fortalecimento produtivo da agricultura familiar.</t>
  </si>
  <si>
    <t>Bioenergia; inclusão energética no meio rural; produção descentralizada de biogás/biometano e biofertilizantes.</t>
  </si>
  <si>
    <t>Governo Federal – programa nacional de biodigestores e biogás (órgão gestor a confirmar)</t>
  </si>
  <si>
    <t xml:space="preserve"> 04/06/2002</t>
  </si>
  <si>
    <t>Esplanada dos Ministérios, Bloco A
CEP: 70054-900</t>
  </si>
  <si>
    <t>Programa Mais Luz para a Amazônia e o Semiárido – Expansão da Energia Renovável para Comunidades Isoladas</t>
  </si>
  <si>
    <t>Garantir o acesso universal à energia elétrica por meio da instalação de sistemas renováveis descentralizados (principalmente solar fotovoltaico off-grid), com foco em regiões isoladas, comunidades rurais difusas, assentamentos, territórios quilombolas e indígenas no Semiárido e na Amazônia, onde a extensão da rede convencional é inviável técnica ou economicamente.</t>
  </si>
  <si>
    <t>Universalização do acesso à energia elétrica; inclusão energética.</t>
  </si>
  <si>
    <t>Governo Federal – Ministério de Minas e Energia (Programa Mais Luz para a Amazônia)</t>
  </si>
  <si>
    <t>37.115.383/0001-53</t>
  </si>
  <si>
    <t>12/05/1992</t>
  </si>
  <si>
    <t>Edifício sede do Ministério de Minas e Energia, Esplanada dos Ministérios, Bloco "U", Térreo Sala 30, CEP 70.065-900, Brasília, Distrito Federal.</t>
  </si>
  <si>
    <t>Caatinga, Amazônia</t>
  </si>
  <si>
    <t>APROBAMBU (MA)</t>
  </si>
  <si>
    <t>Promover uma cadeia de valor sustentável de bioeconomia e bioenergia, utilizando o bambu para a produção de etanol de segunda geração (2G), biomassa energética e bioprodutos de alto valor, fortalecendo a inovação tecnológica e o desenvolvimento rural.</t>
  </si>
  <si>
    <t>Bioeconomia e bioenergia de segunda geração</t>
  </si>
  <si>
    <t>APROBAMBU – Associação dos Produtores de Bambu (MA)</t>
  </si>
  <si>
    <t>36.690.138/0001-07</t>
  </si>
  <si>
    <t>31/08/2018</t>
  </si>
  <si>
    <t xml:space="preserve">Embrapa Meio-Norte (Centro de Pesquisa de São Luís/MA)
Praça da República, 140 – Centro.
CEP: 65020-200
Cidade/Estado: São Luís, Maranhão (MA)
Embrapa Agroenergia (Centro Nacional de Pesquisa em Agroenergia) 
Parque Estação Biológica (PqEB), s/n, Asa Norte 
CEP:70770-901 
Cidade/Estado: Brasília, Distrito Federal (DF) 
</t>
  </si>
  <si>
    <t>Amazônia</t>
  </si>
  <si>
    <t>Raízes Solares (MA) – Programa comunitário de inclusão energética e geração fotovoltaica</t>
  </si>
  <si>
    <t>Implantar um modelo inovador de transição energética justa em comunidades tradicionais (quilombolas), instalando uma usina solar fotovoltaica comunitária para reduzir a pobreza energética, fortalecer a autonomia econômica e produtiva (agroecologia) e criar um Fundo Econômico Comunitário autossustentável para reinvestimento.</t>
  </si>
  <si>
    <t>Transição energética justa; autonomia comunitária; geração fotovoltaica comunitária; fortalecimento econômico em territórios quilombolas e tradicionais.</t>
  </si>
  <si>
    <t>Raízes Solares – programa comunitário (organização executora a confirmar)</t>
  </si>
  <si>
    <t>07.060.718/0001-12</t>
  </si>
  <si>
    <t>28/08/2004</t>
  </si>
  <si>
    <t>8550-3/02 - Atividades de apoio à educação, exceto caixas escolares</t>
  </si>
  <si>
    <t>SEDEPE - Governo do Maranhão 
Avenida Dom Pedro II, Edifício Nagib Haick, 1º Andar, Centro, São Luís/MA 
Fundação Sousândrade de Apoio ao Desenvolvimento da UFMA (FSADU) 
Rua Urano, 45, Jardim Renascença, São Luís/MA</t>
  </si>
  <si>
    <t>Fundação Privada</t>
  </si>
  <si>
    <t>SEDEPE – Articulação de Políticas Estaduais de Transição Verde (PE)</t>
  </si>
  <si>
    <t>Coordenar e integrar as políticas públicas do Governo de Pernambuco para a transição energética e sustentável, atraindo investimentos verdes (como o H2V) e promovendo a descarbonização da economia, articulando essas ações com a sociedade civil organizada, ONGs e movimentos sociais para garantir a justiça socioambiental e a inclusão produtiva no estado.</t>
  </si>
  <si>
    <t>Transição Energética justa e sustentável</t>
  </si>
  <si>
    <t>Governo do Estado de Pernambuco – Secretaria de Desenvolvimento Econômico (SEDEPE)</t>
  </si>
  <si>
    <t>10.571.982/0001-25</t>
  </si>
  <si>
    <t>14/02/1975</t>
  </si>
  <si>
    <t>Av. Conselheiro Rosa e Silva, 781, Aflitos.
CEP: 52020-220</t>
  </si>
  <si>
    <t>Programa Sertão Vivo (NE) – Resiliência climática, produção rural sustentável e uso produtivo da energia em territórios semiáridos</t>
  </si>
  <si>
    <t>Garantir a resiliência climática e autonomia produtiva no Semiárido, integrando o uso produtivo da energia solar fotovoltaica (principalmente em sistemas de bombeamento) à infraestrutura hídrica e à agroecologia. A iniciativa visa substituir motores a diesel para reduzir custos e mitigar GEE, garantindo o suprimento seguro de água e energia para a produção familiar (irrigação, resfriamento), o que fortalece a segurança alimentar e a justiça socioambiental.</t>
  </si>
  <si>
    <t>Resiliência climática; sustentabilidade produtiva no Semiárido; integração de tecnologias sociais; infraestrutura hídrica; uso produtivo da energia solar.</t>
  </si>
  <si>
    <t xml:space="preserve">Brasília: SAUS, Quadra 1, Lotes 3A e 5, Bloco I - Sobreloja - Sala 201 - Brasília/DF - CEP: 70070-010
Salvador: 3ª Avenida, nº 310 - Centro Administrativo da Bahia. CEP 41.745-005 - Salvador/BA 
</t>
  </si>
  <si>
    <t>BA, PE, CE, RN, AL, PI, PB, SE</t>
  </si>
  <si>
    <t>Crédito de Carbono Integral (CCI-BSHE): Metodologia Brasileira para Certificação em Caatinga</t>
  </si>
  <si>
    <t>Desenvolver e validar uma metodologia brasileira para certificar a absorção de carbono em vegetação nativa da Caatinga, criando um Mercado de Crédito de Carbono Social que remunera a conservação do bioma e promove a justiça socioambiental para pequenos produtores rurais.</t>
  </si>
  <si>
    <t>Mercado de carbono social; conservação da Caatinga</t>
  </si>
  <si>
    <t>Associação dos Produtores de Crédito de Carbono Social do Bioma Caatinga</t>
  </si>
  <si>
    <t>48.123.437/0001-49</t>
  </si>
  <si>
    <t>11/08/2022</t>
  </si>
  <si>
    <t>Fazenda Olho D'Aguinha S/N, Delmiro Gouveia - AL
Zona Rural
CEP: 57480-000</t>
  </si>
  <si>
    <t>Delmiro Gouveia</t>
  </si>
  <si>
    <t>Programa Município Selo Verde (CE)</t>
  </si>
  <si>
    <t>Certificação ambiental pública que reconhece e valoriza os municípios que adotam políticas e práticas efetivas de conservação ambiental e uso sustentável dos recursos naturais, promovendo a melhoria contínua da gestão ambiental local.</t>
  </si>
  <si>
    <t>Governança Ambiental; Indicadores de Sustentabilidade Ambiental</t>
  </si>
  <si>
    <t>Governo do Estado do Ceará – Secretaria do Meio Ambiente (Programa Município Selo Verde)</t>
  </si>
  <si>
    <t>22.156.351/0001-29</t>
  </si>
  <si>
    <t>Av. Pontes Vieira, 2666 - Dionísio Torres, Fortaleza - CE</t>
  </si>
  <si>
    <t>5. Economia Circular e Solidária</t>
  </si>
  <si>
    <t>Projeto Bahia Solidária</t>
  </si>
  <si>
    <t xml:space="preserve">O programa busca articular políticas públicas de inclusão produtiva, inovação social e valorização de empreendimentos econômicos solidários (EES), especialmente de base comunitária e cooperativa de territórios de identidade da Bahia.
</t>
  </si>
  <si>
    <t>Economia Solidária; Microcrédito, Assistência técnica,Compras Públicas Sustentáveis</t>
  </si>
  <si>
    <t>Governo do Estado da Bahia – Secretaria de Justiça, Direitos Humanos e Desenvolvimento Social (Bahia Solidária)</t>
  </si>
  <si>
    <t>21.730.529/0001-30</t>
  </si>
  <si>
    <t>01/01/2015</t>
  </si>
  <si>
    <t>Av. Luís Viana Filho, 2ª Avenida, Plataforma III, nº 200, CAB, Salvador, BA</t>
  </si>
  <si>
    <t>Solos</t>
  </si>
  <si>
    <t>A Solos é uma startup que desenvolve soluções integradas para estimular o descarte correto, fortalecer cooperativas e aprimorar a logística reversa.</t>
  </si>
  <si>
    <t>Logística reversa; Educação ambiental; Inclusão produtiva</t>
  </si>
  <si>
    <t>SOLOS (startup de economia circular)</t>
  </si>
  <si>
    <t>29.569.087/0001-02</t>
  </si>
  <si>
    <t>30/01/2018</t>
  </si>
  <si>
    <t>7490-1/99 - Outras atividades profissionais, científicas e técnicas não especificadas anteriormente</t>
  </si>
  <si>
    <t>Salvador – BA (sede principal da SOLOS; atuação nacional)</t>
  </si>
  <si>
    <t>Programa Alagoas Catador</t>
  </si>
  <si>
    <t>O programa estimula a expansão da coleta seletiva, o reaproveitamento e a reciclagem de resíduos sólidos, e a valorização do trabalho dos catadores como agentes fundamentais da gestão de resíduos.</t>
  </si>
  <si>
    <t>Valorização dos catadores/as; capacitação; coleta seletiva; Inclusão produtiva</t>
  </si>
  <si>
    <t>Governo do Estado de Alagoas (Programa Alagoas Catador)</t>
  </si>
  <si>
    <t>03.626.198/0001-01</t>
  </si>
  <si>
    <t>27/12/1999</t>
  </si>
  <si>
    <t>Av. General Luiz de França Albuquerque, s/n, Jacarecica, Maceió - AL</t>
  </si>
  <si>
    <t>Mata Atlântica, Cerrado, Caatinga</t>
  </si>
  <si>
    <t>Modelo de Gestão Municipal de Resíduos Sólidos de Arez (RN)</t>
  </si>
  <si>
    <t>Desativação de lixão com implantação de sistemas integrados de gestão de resíduos com suporte técnico e financeiro, articulando redução de impactos ambientais, eficiência no manejo e promoção de soluções circulares.</t>
  </si>
  <si>
    <t>Capacitar Catadores/as; Centros de Triagem; Cadeia local de reciclagem;</t>
  </si>
  <si>
    <t>Prefeitura Municipal de Arês (RN)</t>
  </si>
  <si>
    <t>08.161.234/0001-22</t>
  </si>
  <si>
    <t>24/01/1975</t>
  </si>
  <si>
    <t>RUA JOAQUIM DE LIMA GALVAO 
CENTRO, Arês - RN</t>
  </si>
  <si>
    <t>Arês</t>
  </si>
  <si>
    <t>Órgão Público do Poder Executivo Municipal</t>
  </si>
  <si>
    <t>Rede Recicla Bahia</t>
  </si>
  <si>
    <t>Rede que oferece suporte técnico e administrativo às cooperativas, promove capacitações, apoia a digitalização da gestão (com emissão de notas fiscais e manifestos de transporte) e atuar junto às prefeituras na elaboração de Planos Municipais de Gestão de Resíduos Sólidos, especialmente em municípios de pequeno e médio porte.</t>
  </si>
  <si>
    <t>Inclusão social e produtiva dos catadores</t>
  </si>
  <si>
    <t>27.411.942/0001-19</t>
  </si>
  <si>
    <t xml:space="preserve">10/03/2017
</t>
  </si>
  <si>
    <t>Rua Visconde de Itaboraí, 110, Amaralina, Salvador-BA</t>
  </si>
  <si>
    <t>Consórcio Público de Manejo de Resíduos Sólidos da Ibiapaba</t>
  </si>
  <si>
    <t>O CPMRS-RI se destaca por integrar oito municípios em um modelo inovador de gestão consorciada que combina infraestrutura moderna, inclusão de catadores e práticas de economia circular para eliminar lixões e transformar resíduos em desenvolvimento sustentável.</t>
  </si>
  <si>
    <t>Capacitar Catadores/as; Centros de Triagem; Cadeia local de reciclagem; Economia Solidária</t>
  </si>
  <si>
    <t>Consórcio Público de Manejo de Resíduos Sólidos da Ibiapaba (CPMRS-RI)</t>
  </si>
  <si>
    <t>44.678.797/0001-56</t>
  </si>
  <si>
    <t>24/06/2020</t>
  </si>
  <si>
    <t>3821-1/00 - Tratamento e disposição de resíduos não-perigosos</t>
  </si>
  <si>
    <t>RUA MONSENHOR CUSTÓDIO, Nº 289 
CENTRO - Tianguá-CE</t>
  </si>
  <si>
    <t>Tianguá</t>
  </si>
  <si>
    <t>Consórcio Público</t>
  </si>
  <si>
    <t>Labifor (Citinova)</t>
  </si>
  <si>
    <t>Laboratório de Inovação da Prefeitura de Fortaleza que cria soluções criativas e tecnológicas para os desafios urbanos, com ênfase na sustentabilidade e na economia circular, como o Projeto Re-Ciclo, gestão de resíduos orgânicos por meio de biodigestores, criação de microparques urbanos e oficinas de educação ambiental.</t>
  </si>
  <si>
    <t xml:space="preserve">Coleta e reaproveitamento de resíduos, inclusão sociprodutiva, Cultura de Sustentabilidade. 
</t>
  </si>
  <si>
    <t>Prefeitura Municipal de Fortaleza – Citinova (Labifor)</t>
  </si>
  <si>
    <t>07.954.605/0001-60</t>
  </si>
  <si>
    <t>30/12/1974</t>
  </si>
  <si>
    <t>Rua Padre Valdevino, 1040 - Joaquim Távora - Fortaleza - CE</t>
  </si>
  <si>
    <t>Programa Fortaleza Cidade Sustentável</t>
  </si>
  <si>
    <t>Integrar desenvolvimento urbano com sustentabilidade ambiental, promovendo resiliência urbana e uso eficiente de recursos naturais</t>
  </si>
  <si>
    <t>Infraestrutura urbana sustentável e SBN</t>
  </si>
  <si>
    <t>Prefeitura Municipal de Fortaleza</t>
  </si>
  <si>
    <t>Avenida Deputado Paulino Rocha, 1343 - Cajazeiras 
Fortaleza-CE - CEP: 60.864-310</t>
  </si>
  <si>
    <t>Nova Infraestrutura Verde-Azul e Adaptação Climática</t>
  </si>
  <si>
    <t>Programas complementares de captação de água da ASA</t>
  </si>
  <si>
    <t>Garantir acesso à água para consumo humano, produção de alimentos e educação no Semiárido</t>
  </si>
  <si>
    <t>Segurança hídrica e convivência com o semiárido</t>
  </si>
  <si>
    <t>ASA – Articulação Semiárido Brasileiro</t>
  </si>
  <si>
    <t>04/06/2002</t>
  </si>
  <si>
    <t>Rua da Aurora, 125 - Boa Vista, Recife - PE</t>
  </si>
  <si>
    <t>PE, CE, BA, RN, AL, PI, MA, PB, SE</t>
  </si>
  <si>
    <t>Projeto Tecnologia SARA</t>
  </si>
  <si>
    <t>Promover saneamento rural e segurança hídrica através de tratamento de esgoto e reúso agrícola</t>
  </si>
  <si>
    <t>Saneamento rural e reúso de água</t>
  </si>
  <si>
    <t>Projeto Tecnologia SARA (organização executora a confirmar)</t>
  </si>
  <si>
    <t>01.263.896/0019-93</t>
  </si>
  <si>
    <t xml:space="preserve">14/04/2004
</t>
  </si>
  <si>
    <t>Avenida Francisco Lopes de Almeida, Campina Grande, Paraíba</t>
  </si>
  <si>
    <t>Campina Grande</t>
  </si>
  <si>
    <t>Zoneamento Ecológico-Econômico da Zona Costeira no Ceará</t>
  </si>
  <si>
    <t>Ordenar e organizar decisões no território costeiro para conservação do capital natural</t>
  </si>
  <si>
    <t>Ordenamento territorial costeiro</t>
  </si>
  <si>
    <t>Governo do Estado do Ceará – Secretaria do Meio Ambiente (SEMA/CE)</t>
  </si>
  <si>
    <t>10/03/2015</t>
  </si>
  <si>
    <t>Av. Dr. José Martins Rodrigues, 111 - Edson Queiroz, Fortaleza - CE</t>
  </si>
  <si>
    <t>Sistema Metroviário do Ceará</t>
  </si>
  <si>
    <t>Oferecer transporte público sustentável e de baixo carbono</t>
  </si>
  <si>
    <t>Mobilidade urbana sustentável</t>
  </si>
  <si>
    <t>Governo do Estado do Ceará – Companhia Cearense de Transportes Metropolitanos (METROFOR)</t>
  </si>
  <si>
    <t>02.003.575/0001-93</t>
  </si>
  <si>
    <t>31/07/1997</t>
  </si>
  <si>
    <t>4912-4/03 - Transporte metroviário</t>
  </si>
  <si>
    <t>Av. General Afonso Albuquerque Lima, S/N - Jacarecanga, Fortaleza - CE</t>
  </si>
  <si>
    <t>Sociedade de Economia Mista</t>
  </si>
  <si>
    <t>Projeto Vale Sustentável</t>
  </si>
  <si>
    <t>Recuperar áreas degradadas e promover desenvolvimento territorial integrado</t>
  </si>
  <si>
    <t>Recuperação ambiental e bioeconomia</t>
  </si>
  <si>
    <t>Associação Norte-Rio-Grandense de Engenheiros Agrônomos</t>
  </si>
  <si>
    <t>08.381.188/0001-77</t>
  </si>
  <si>
    <t>01/12/1977</t>
  </si>
  <si>
    <t>9412-0/99 - Outras atividades associativas profissionais</t>
  </si>
  <si>
    <t>Av. Rio Branco, 510 - Cidade Alta, Natal - RN</t>
  </si>
  <si>
    <t>Conecta Caatinga</t>
  </si>
  <si>
    <t>Criar corredores ecológicos conectando áreas protegidas da Caatinga</t>
  </si>
  <si>
    <t>Conservação da biodiversidade</t>
  </si>
  <si>
    <t>FunBio</t>
  </si>
  <si>
    <t>03.537.443/0001-04</t>
  </si>
  <si>
    <t>06/12/1999</t>
  </si>
  <si>
    <t>Rua dos Inválidos, 124 - 2º andar - Centro, Rio de Janeiro - RJ</t>
  </si>
  <si>
    <t>Rio de Janeiro</t>
  </si>
  <si>
    <t>MA, PI, PE, CE, BA, RN, AL, PB, SE</t>
  </si>
  <si>
    <t>Caatinga, Mata Atlântica</t>
  </si>
  <si>
    <t>Projetos Rural Sustentável Caatinga e Desenvolvimento Agrícola Sustentável no Maranhão</t>
  </si>
  <si>
    <t>Promover adoção de tecnologias de baixa emissão de carbono</t>
  </si>
  <si>
    <t>Agricultura sustentável e baixo carbono</t>
  </si>
  <si>
    <t>Fundação Brasileira para o Desenvolvimento Sustentável (FBDS)</t>
  </si>
  <si>
    <t>40.390.569/0001-25</t>
  </si>
  <si>
    <t>12/02/1992</t>
  </si>
  <si>
    <t>Rua Engenheiro Álvaro Niemeyer, 76São Conrado, Rio de Janeiro - RJCEP: 22610-180</t>
  </si>
  <si>
    <t>-230032</t>
  </si>
  <si>
    <t>-43.2786</t>
  </si>
  <si>
    <t>Plataforma Mulheres de Base Praticantes de Resiliência</t>
  </si>
  <si>
    <t>Promover empoderamento político e econômico de mulheres rurais com resiliência climática</t>
  </si>
  <si>
    <t>Gênero e adaptação climática</t>
  </si>
  <si>
    <t>Plataforma Mulheres de Base Praticantes de Resiliência (organização executora a confirmar)</t>
  </si>
  <si>
    <t>06.281.222/0001-06</t>
  </si>
  <si>
    <t>06/01/2004</t>
  </si>
  <si>
    <t>Rua da Praça, S/N - Centro, Pintadas - BA</t>
  </si>
  <si>
    <t>Pintadas</t>
  </si>
  <si>
    <t>PI, PE, CE, BA, RN, AL, PB, SE</t>
  </si>
  <si>
    <t>Sistema de Monitoramento e Alerta para a Cobertura Vegetal da Caatinga (SIMACaatinga)</t>
  </si>
  <si>
    <t>Desenvolver e operar um sistema de monitoramento contínuo da cobertura vegetal do bioma Caatinga</t>
  </si>
  <si>
    <t>Monitoramento ambiental e alerta precoce da degradação da Caatinga</t>
  </si>
  <si>
    <t>SIMACaatinga – sistema de monitoramento (instituição executora a confirmar)</t>
  </si>
  <si>
    <t>24.464.109/0001-48</t>
  </si>
  <si>
    <t xml:space="preserve"> 03/10/1989 </t>
  </si>
  <si>
    <t>8532-5/00 - Educação superior - graduação e pós-graduação</t>
  </si>
  <si>
    <t>Campus A. C. Simões. BR 104 - NORTE Km 97 - Cidade Universitária, 
Maceió - Alagoas - Brasil. CEP 57072-970</t>
  </si>
  <si>
    <t>Instituto Casaca de Couro</t>
  </si>
  <si>
    <t>Promover a produção sustentável de algodão orgânico e colorido no semiárido nordestino por meio de sistemas de agricultura regenerativa, envolvendo agricultores e agricultoras familiares numa cadeia produtiva integrada e certificada, conectando produção local a mercados nacionais e internacionais de moda sustentável.</t>
  </si>
  <si>
    <t>Agricultura regenerativa e bioeconomia inclusiva na cadeia do algodão orgânico.</t>
  </si>
  <si>
    <t>05.140.867/0001-66</t>
  </si>
  <si>
    <t>20/05/2002</t>
  </si>
  <si>
    <t>R. José da Cruz, s/n Pirpirituba - PB</t>
  </si>
  <si>
    <t>Pirpirituba</t>
  </si>
  <si>
    <t>PB, RN</t>
  </si>
  <si>
    <t>id</t>
  </si>
  <si>
    <t>iniciativa</t>
  </si>
  <si>
    <t>objetivo</t>
  </si>
  <si>
    <t>tematica</t>
  </si>
  <si>
    <t>organizacao</t>
  </si>
  <si>
    <t>cnpj</t>
  </si>
  <si>
    <t>data_fundacao</t>
  </si>
  <si>
    <t>municipio</t>
  </si>
  <si>
    <t>estado</t>
  </si>
  <si>
    <t>bioma</t>
  </si>
  <si>
    <t>eixo</t>
  </si>
  <si>
    <t>setor</t>
  </si>
  <si>
    <t>natureza_juridica</t>
  </si>
  <si>
    <t>avaliador</t>
  </si>
  <si>
    <t>lat</t>
  </si>
  <si>
    <t>lon</t>
  </si>
  <si>
    <t>pontuacao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</si>
</sst>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rgb="FFFFFF00"/>
      </patternFill>
    </fill>
    <fill>
      <patternFill patternType="solid">
        <fgColor rgb="FF2563EB"/>
        <bgColor rgb="FF2563EB"/>
      </patternFill>
    </fill>
  </fills>
  <borders count="16">
    <border/>
    <border>
      <bottom style="thin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808080"/>
      </top>
    </border>
    <border>
      <left style="thin">
        <color rgb="FFBFBFBF"/>
      </left>
      <top style="thin">
        <color rgb="FF808080"/>
      </top>
      <bottom style="thin">
        <color rgb="FFBFBFBF"/>
      </bottom>
    </border>
    <border>
      <top style="thin">
        <color rgb="FF808080"/>
      </top>
      <bottom style="thin">
        <color rgb="FFBFBFBF"/>
      </bottom>
    </border>
    <border>
      <right style="thin">
        <color rgb="FFBFBFBF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808080"/>
      </right>
      <top style="thin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BFBFBF"/>
      </bottom>
    </border>
    <border>
      <left style="thin">
        <color rgb="FF80808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808080"/>
      </bottom>
    </border>
    <border>
      <left style="thin">
        <color rgb="FF808080"/>
      </left>
      <right style="thin">
        <color rgb="FFBFBFBF"/>
      </right>
      <top style="thin">
        <color rgb="FFBFBFBF"/>
      </top>
      <bottom style="thin">
        <color rgb="FF808080"/>
      </bottom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808080"/>
      </bottom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4" fontId="3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3" fontId="3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center" shrinkToFit="0" vertical="center" wrapText="1"/>
    </xf>
    <xf borderId="10" fillId="5" fontId="3" numFmtId="0" xfId="0" applyAlignment="1" applyBorder="1" applyFont="1">
      <alignment horizontal="center" shrinkToFit="0" vertical="center" wrapText="1"/>
    </xf>
    <xf borderId="11" fillId="6" fontId="4" numFmtId="0" xfId="0" applyAlignment="1" applyBorder="1" applyFill="1" applyFont="1">
      <alignment horizontal="center" shrinkToFit="0" vertical="center" wrapText="1"/>
    </xf>
    <xf borderId="9" fillId="6" fontId="4" numFmtId="0" xfId="0" applyAlignment="1" applyBorder="1" applyFont="1">
      <alignment horizontal="left" shrinkToFit="0" vertical="center" wrapText="1"/>
    </xf>
    <xf borderId="9" fillId="6" fontId="4" numFmtId="49" xfId="0" applyAlignment="1" applyBorder="1" applyFont="1" applyNumberFormat="1">
      <alignment horizontal="left" shrinkToFit="0" vertical="center" wrapText="1"/>
    </xf>
    <xf borderId="9" fillId="6" fontId="4" numFmtId="49" xfId="0" applyAlignment="1" applyBorder="1" applyFont="1" applyNumberFormat="1">
      <alignment horizontal="center" shrinkToFit="0" vertical="center" wrapText="1"/>
    </xf>
    <xf borderId="9" fillId="6" fontId="4" numFmtId="49" xfId="0" applyAlignment="1" applyBorder="1" applyFont="1" applyNumberFormat="1">
      <alignment horizontal="center" readingOrder="0" shrinkToFit="0" vertical="center" wrapText="1"/>
    </xf>
    <xf borderId="9" fillId="6" fontId="4" numFmtId="0" xfId="0" applyAlignment="1" applyBorder="1" applyFont="1">
      <alignment horizontal="center" shrinkToFit="0" vertical="center" wrapText="1"/>
    </xf>
    <xf borderId="9" fillId="6" fontId="4" numFmtId="164" xfId="0" applyAlignment="1" applyBorder="1" applyFont="1" applyNumberFormat="1">
      <alignment horizontal="center" shrinkToFit="0" vertical="center" wrapText="1"/>
    </xf>
    <xf borderId="10" fillId="6" fontId="3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left" shrinkToFit="0" vertical="center" wrapText="1"/>
    </xf>
    <xf borderId="9" fillId="0" fontId="4" numFmtId="49" xfId="0" applyAlignment="1" applyBorder="1" applyFont="1" applyNumberFormat="1">
      <alignment horizontal="left" shrinkToFit="0" vertical="center" wrapText="1"/>
    </xf>
    <xf borderId="9" fillId="0" fontId="4" numFmtId="49" xfId="0" applyAlignment="1" applyBorder="1" applyFont="1" applyNumberForma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4" numFmtId="164" xfId="0" applyAlignment="1" applyBorder="1" applyFont="1" applyNumberForma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9" fillId="7" fontId="4" numFmtId="0" xfId="0" applyAlignment="1" applyBorder="1" applyFill="1" applyFont="1">
      <alignment horizontal="left" shrinkToFit="0" vertical="center" wrapText="1"/>
    </xf>
    <xf borderId="9" fillId="6" fontId="4" numFmtId="0" xfId="0" applyAlignment="1" applyBorder="1" applyFont="1">
      <alignment horizontal="left" readingOrder="0" shrinkToFit="0" vertical="center" wrapText="1"/>
    </xf>
    <xf borderId="9" fillId="0" fontId="4" numFmtId="49" xfId="0" applyAlignment="1" applyBorder="1" applyFont="1" applyNumberFormat="1">
      <alignment horizontal="center" readingOrder="0" shrinkToFit="0" vertical="center" wrapText="1"/>
    </xf>
    <xf borderId="12" fillId="6" fontId="4" numFmtId="0" xfId="0" applyAlignment="1" applyBorder="1" applyFont="1">
      <alignment horizontal="left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2" fillId="6" fontId="4" numFmtId="0" xfId="0" applyAlignment="1" applyBorder="1" applyFont="1">
      <alignment horizontal="left" shrinkToFit="0" vertical="center" wrapText="1"/>
    </xf>
    <xf borderId="12" fillId="6" fontId="4" numFmtId="49" xfId="0" applyAlignment="1" applyBorder="1" applyFont="1" applyNumberFormat="1">
      <alignment horizontal="left" shrinkToFit="0" vertical="center" wrapText="1"/>
    </xf>
    <xf borderId="12" fillId="6" fontId="4" numFmtId="49" xfId="0" applyAlignment="1" applyBorder="1" applyFont="1" applyNumberFormat="1">
      <alignment horizontal="center" shrinkToFit="0" vertical="center" wrapText="1"/>
    </xf>
    <xf borderId="12" fillId="6" fontId="4" numFmtId="0" xfId="0" applyAlignment="1" applyBorder="1" applyFont="1">
      <alignment horizontal="center" shrinkToFit="0" vertical="center" wrapText="1"/>
    </xf>
    <xf borderId="12" fillId="6" fontId="4" numFmtId="164" xfId="0" applyAlignment="1" applyBorder="1" applyFont="1" applyNumberFormat="1">
      <alignment horizontal="center" shrinkToFit="0" vertical="center" wrapText="1"/>
    </xf>
    <xf borderId="14" fillId="6" fontId="3" numFmtId="0" xfId="0" applyAlignment="1" applyBorder="1" applyFont="1">
      <alignment horizontal="center" shrinkToFit="0" vertical="center" wrapText="1"/>
    </xf>
    <xf borderId="9" fillId="7" fontId="4" numFmtId="49" xfId="0" applyAlignment="1" applyBorder="1" applyFont="1" applyNumberFormat="1">
      <alignment horizontal="center" readingOrder="0" shrinkToFit="0" vertical="center" wrapText="1"/>
    </xf>
    <xf borderId="9" fillId="7" fontId="4" numFmtId="49" xfId="0" applyAlignment="1" applyBorder="1" applyFont="1" applyNumberFormat="1">
      <alignment horizontal="left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12" fillId="6" fontId="4" numFmtId="49" xfId="0" applyAlignment="1" applyBorder="1" applyFont="1" applyNumberFormat="1">
      <alignment horizontal="center" readingOrder="0" shrinkToFit="0" vertical="center" wrapText="1"/>
    </xf>
    <xf borderId="9" fillId="0" fontId="4" numFmtId="49" xfId="0" applyAlignment="1" applyBorder="1" applyFont="1" applyNumberFormat="1">
      <alignment horizontal="left" readingOrder="0" shrinkToFit="0" vertical="center" wrapText="1"/>
    </xf>
    <xf borderId="12" fillId="6" fontId="4" numFmtId="49" xfId="0" applyAlignment="1" applyBorder="1" applyFont="1" applyNumberFormat="1">
      <alignment horizontal="left" readingOrder="0" shrinkToFit="0" vertical="center" wrapText="1"/>
    </xf>
    <xf borderId="12" fillId="6" fontId="4" numFmtId="0" xfId="0" applyAlignment="1" applyBorder="1" applyFont="1">
      <alignment horizontal="center" readingOrder="0" shrinkToFit="0" vertical="center" wrapText="1"/>
    </xf>
    <xf borderId="12" fillId="6" fontId="4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15" fillId="8" fontId="6" numFmtId="0" xfId="0" applyAlignment="1" applyBorder="1" applyFill="1" applyFont="1">
      <alignment horizontal="center" vertical="center"/>
    </xf>
    <xf borderId="15" fillId="0" fontId="4" numFmtId="0" xfId="0" applyBorder="1" applyFont="1"/>
    <xf borderId="15" fillId="0" fontId="4" numFmtId="49" xfId="0" applyBorder="1" applyFont="1" applyNumberFormat="1"/>
    <xf borderId="15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5.88"/>
    <col customWidth="1" min="2" max="2" width="42.25"/>
    <col customWidth="1" min="3" max="3" width="54.25"/>
    <col customWidth="1" min="4" max="4" width="29.63"/>
    <col customWidth="1" min="5" max="5" width="47.0"/>
    <col customWidth="1" min="6" max="7" width="18.88"/>
    <col customWidth="1" min="8" max="8" width="36.13"/>
    <col customWidth="1" min="9" max="9" width="38.63"/>
    <col customWidth="1" min="10" max="10" width="13.0"/>
    <col customWidth="1" min="11" max="11" width="14.63"/>
    <col customWidth="1" min="12" max="12" width="10.63"/>
    <col customWidth="1" min="13" max="13" width="21.63"/>
    <col customWidth="1" min="14" max="14" width="15.13"/>
    <col customWidth="1" min="15" max="15" width="20.38"/>
    <col customWidth="1" min="16" max="16" width="30.13"/>
    <col customWidth="1" min="17" max="17" width="24.13"/>
    <col customWidth="1" min="18" max="18" width="16.0"/>
    <col customWidth="1" min="19" max="20" width="24.13"/>
    <col customWidth="1" min="21" max="30" width="17.5"/>
    <col customWidth="1" min="31" max="31" width="13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6" t="s">
        <v>12</v>
      </c>
      <c r="M2" s="7" t="s">
        <v>13</v>
      </c>
      <c r="N2" s="8"/>
      <c r="O2" s="8"/>
      <c r="P2" s="8"/>
      <c r="Q2" s="8"/>
      <c r="R2" s="8"/>
      <c r="S2" s="8"/>
      <c r="T2" s="9"/>
      <c r="U2" s="10" t="s">
        <v>14</v>
      </c>
      <c r="V2" s="8"/>
      <c r="W2" s="8"/>
      <c r="X2" s="8"/>
      <c r="Y2" s="8"/>
      <c r="Z2" s="8"/>
      <c r="AA2" s="8"/>
      <c r="AB2" s="8"/>
      <c r="AC2" s="8"/>
      <c r="AD2" s="9"/>
      <c r="AE2" s="11" t="s">
        <v>15</v>
      </c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 t="s">
        <v>16</v>
      </c>
      <c r="N3" s="13" t="s">
        <v>17</v>
      </c>
      <c r="O3" s="13" t="s">
        <v>18</v>
      </c>
      <c r="P3" s="13" t="s">
        <v>19</v>
      </c>
      <c r="Q3" s="13" t="s">
        <v>20</v>
      </c>
      <c r="R3" s="13" t="s">
        <v>21</v>
      </c>
      <c r="S3" s="13" t="s">
        <v>22</v>
      </c>
      <c r="T3" s="13" t="s">
        <v>23</v>
      </c>
      <c r="U3" s="14" t="s">
        <v>24</v>
      </c>
      <c r="V3" s="14" t="s">
        <v>25</v>
      </c>
      <c r="W3" s="14" t="s">
        <v>26</v>
      </c>
      <c r="X3" s="14" t="s">
        <v>27</v>
      </c>
      <c r="Y3" s="14" t="s">
        <v>28</v>
      </c>
      <c r="Z3" s="14" t="s">
        <v>29</v>
      </c>
      <c r="AA3" s="14" t="s">
        <v>30</v>
      </c>
      <c r="AB3" s="14" t="s">
        <v>31</v>
      </c>
      <c r="AC3" s="14" t="s">
        <v>32</v>
      </c>
      <c r="AD3" s="14" t="s">
        <v>33</v>
      </c>
      <c r="AE3" s="15" t="s">
        <v>34</v>
      </c>
    </row>
    <row r="4">
      <c r="A4" s="16">
        <f t="shared" ref="A4:A55" si="1">IF($B4="","",COUNTA($B$4:$B4))</f>
        <v>1</v>
      </c>
      <c r="B4" s="17" t="s">
        <v>35</v>
      </c>
      <c r="C4" s="17" t="s">
        <v>36</v>
      </c>
      <c r="D4" s="17" t="s">
        <v>37</v>
      </c>
      <c r="E4" s="18" t="s">
        <v>38</v>
      </c>
      <c r="F4" s="19" t="s">
        <v>39</v>
      </c>
      <c r="G4" s="20" t="s">
        <v>40</v>
      </c>
      <c r="H4" s="21" t="s">
        <v>41</v>
      </c>
      <c r="I4" s="17" t="s">
        <v>42</v>
      </c>
      <c r="J4" s="22">
        <v>-8.0017</v>
      </c>
      <c r="K4" s="22">
        <v>-35.2928</v>
      </c>
      <c r="L4" s="17" t="str">
        <f t="shared" ref="L4:L55" si="2">IF($P4="","",IF(OR(LEFT($P4,2)="1.",LEFT($P4,2)="4."),"Lucas",IF(OR(LEFT($P4,2)="2.",LEFT($P4,2)="3."),"Caio","Leide")))</f>
        <v>Lucas</v>
      </c>
      <c r="M4" s="17" t="s">
        <v>43</v>
      </c>
      <c r="N4" s="17" t="s">
        <v>44</v>
      </c>
      <c r="O4" s="17" t="s">
        <v>45</v>
      </c>
      <c r="P4" s="17" t="s">
        <v>46</v>
      </c>
      <c r="Q4" s="17"/>
      <c r="R4" s="17" t="s">
        <v>47</v>
      </c>
      <c r="S4" s="17" t="s">
        <v>48</v>
      </c>
      <c r="T4" s="17"/>
      <c r="U4" s="21"/>
      <c r="V4" s="21"/>
      <c r="W4" s="21"/>
      <c r="X4" s="21"/>
      <c r="Y4" s="21"/>
      <c r="Z4" s="21"/>
      <c r="AA4" s="21"/>
      <c r="AB4" s="21"/>
      <c r="AC4" s="21"/>
      <c r="AD4" s="21"/>
      <c r="AE4" s="23">
        <f t="shared" ref="AE4:AE55" si="3">SUM(R4:AD4)</f>
        <v>0</v>
      </c>
    </row>
    <row r="5">
      <c r="A5" s="24">
        <f t="shared" si="1"/>
        <v>2</v>
      </c>
      <c r="B5" s="25" t="s">
        <v>49</v>
      </c>
      <c r="C5" s="25" t="s">
        <v>50</v>
      </c>
      <c r="D5" s="25" t="s">
        <v>51</v>
      </c>
      <c r="E5" s="26" t="s">
        <v>52</v>
      </c>
      <c r="F5" s="27" t="s">
        <v>53</v>
      </c>
      <c r="G5" s="27" t="s">
        <v>54</v>
      </c>
      <c r="H5" s="28" t="s">
        <v>55</v>
      </c>
      <c r="I5" s="25" t="s">
        <v>56</v>
      </c>
      <c r="J5" s="29">
        <v>-3.7319</v>
      </c>
      <c r="K5" s="29">
        <v>-38.5267</v>
      </c>
      <c r="L5" s="25" t="str">
        <f t="shared" si="2"/>
        <v>Lucas</v>
      </c>
      <c r="M5" s="25" t="s">
        <v>57</v>
      </c>
      <c r="N5" s="25" t="s">
        <v>58</v>
      </c>
      <c r="O5" s="25" t="s">
        <v>45</v>
      </c>
      <c r="P5" s="25" t="s">
        <v>46</v>
      </c>
      <c r="Q5" s="25"/>
      <c r="R5" s="25" t="s">
        <v>47</v>
      </c>
      <c r="S5" s="25" t="s">
        <v>48</v>
      </c>
      <c r="T5" s="25"/>
      <c r="U5" s="28"/>
      <c r="V5" s="28"/>
      <c r="W5" s="28"/>
      <c r="X5" s="28"/>
      <c r="Y5" s="28"/>
      <c r="Z5" s="28"/>
      <c r="AA5" s="28"/>
      <c r="AB5" s="28"/>
      <c r="AC5" s="28"/>
      <c r="AD5" s="28"/>
      <c r="AE5" s="30">
        <f t="shared" si="3"/>
        <v>0</v>
      </c>
    </row>
    <row r="6">
      <c r="A6" s="16">
        <f t="shared" si="1"/>
        <v>3</v>
      </c>
      <c r="B6" s="17" t="s">
        <v>59</v>
      </c>
      <c r="C6" s="17" t="s">
        <v>60</v>
      </c>
      <c r="D6" s="17" t="s">
        <v>61</v>
      </c>
      <c r="E6" s="18" t="s">
        <v>62</v>
      </c>
      <c r="F6" s="19" t="s">
        <v>63</v>
      </c>
      <c r="G6" s="19" t="s">
        <v>64</v>
      </c>
      <c r="H6" s="21" t="s">
        <v>55</v>
      </c>
      <c r="I6" s="17" t="s">
        <v>65</v>
      </c>
      <c r="J6" s="22">
        <v>-11.6644</v>
      </c>
      <c r="K6" s="22">
        <v>-39.0078</v>
      </c>
      <c r="L6" s="17" t="str">
        <f t="shared" si="2"/>
        <v>Lucas</v>
      </c>
      <c r="M6" s="17" t="s">
        <v>66</v>
      </c>
      <c r="N6" s="17" t="s">
        <v>67</v>
      </c>
      <c r="O6" s="17" t="s">
        <v>68</v>
      </c>
      <c r="P6" s="17" t="s">
        <v>46</v>
      </c>
      <c r="Q6" s="17"/>
      <c r="R6" s="17" t="s">
        <v>47</v>
      </c>
      <c r="S6" s="17" t="s">
        <v>48</v>
      </c>
      <c r="T6" s="17"/>
      <c r="U6" s="21"/>
      <c r="V6" s="21"/>
      <c r="W6" s="21"/>
      <c r="X6" s="21"/>
      <c r="Y6" s="21"/>
      <c r="Z6" s="21"/>
      <c r="AA6" s="21"/>
      <c r="AB6" s="21"/>
      <c r="AC6" s="21"/>
      <c r="AD6" s="21"/>
      <c r="AE6" s="23">
        <f t="shared" si="3"/>
        <v>0</v>
      </c>
    </row>
    <row r="7">
      <c r="A7" s="24">
        <f t="shared" si="1"/>
        <v>4</v>
      </c>
      <c r="B7" s="25" t="s">
        <v>69</v>
      </c>
      <c r="C7" s="25" t="s">
        <v>70</v>
      </c>
      <c r="D7" s="25" t="s">
        <v>61</v>
      </c>
      <c r="E7" s="26" t="s">
        <v>71</v>
      </c>
      <c r="F7" s="27" t="s">
        <v>72</v>
      </c>
      <c r="G7" s="28" t="s">
        <v>73</v>
      </c>
      <c r="H7" s="28" t="s">
        <v>73</v>
      </c>
      <c r="I7" s="25" t="s">
        <v>74</v>
      </c>
      <c r="J7" s="29">
        <v>-7.7869</v>
      </c>
      <c r="K7" s="29">
        <v>-35.0922</v>
      </c>
      <c r="L7" s="25" t="str">
        <f t="shared" si="2"/>
        <v>Lucas</v>
      </c>
      <c r="M7" s="25" t="s">
        <v>75</v>
      </c>
      <c r="N7" s="25" t="s">
        <v>44</v>
      </c>
      <c r="O7" s="25" t="s">
        <v>45</v>
      </c>
      <c r="P7" s="25" t="s">
        <v>46</v>
      </c>
      <c r="Q7" s="25"/>
      <c r="R7" s="25" t="s">
        <v>47</v>
      </c>
      <c r="S7" s="31" t="s">
        <v>73</v>
      </c>
      <c r="T7" s="25"/>
      <c r="U7" s="28"/>
      <c r="V7" s="28"/>
      <c r="W7" s="28"/>
      <c r="X7" s="28"/>
      <c r="Y7" s="28"/>
      <c r="Z7" s="28"/>
      <c r="AA7" s="28"/>
      <c r="AB7" s="28"/>
      <c r="AC7" s="28"/>
      <c r="AD7" s="28"/>
      <c r="AE7" s="30">
        <f t="shared" si="3"/>
        <v>0</v>
      </c>
    </row>
    <row r="8">
      <c r="A8" s="16">
        <f t="shared" si="1"/>
        <v>5</v>
      </c>
      <c r="B8" s="17" t="s">
        <v>76</v>
      </c>
      <c r="C8" s="17" t="s">
        <v>77</v>
      </c>
      <c r="D8" s="17" t="s">
        <v>37</v>
      </c>
      <c r="E8" s="18" t="s">
        <v>78</v>
      </c>
      <c r="F8" s="19" t="s">
        <v>79</v>
      </c>
      <c r="G8" s="19" t="s">
        <v>80</v>
      </c>
      <c r="H8" s="21" t="s">
        <v>55</v>
      </c>
      <c r="I8" s="17" t="s">
        <v>81</v>
      </c>
      <c r="J8" s="22">
        <v>-22.9068</v>
      </c>
      <c r="K8" s="22">
        <v>-43.1729</v>
      </c>
      <c r="L8" s="17" t="str">
        <f t="shared" si="2"/>
        <v>Lucas</v>
      </c>
      <c r="M8" s="17"/>
      <c r="N8" s="32" t="s">
        <v>67</v>
      </c>
      <c r="O8" s="32" t="s">
        <v>82</v>
      </c>
      <c r="P8" s="17" t="s">
        <v>46</v>
      </c>
      <c r="Q8" s="17"/>
      <c r="R8" s="17" t="s">
        <v>47</v>
      </c>
      <c r="S8" s="17" t="s">
        <v>48</v>
      </c>
      <c r="T8" s="17"/>
      <c r="U8" s="21"/>
      <c r="V8" s="21"/>
      <c r="W8" s="21"/>
      <c r="X8" s="21"/>
      <c r="Y8" s="21"/>
      <c r="Z8" s="21"/>
      <c r="AA8" s="21"/>
      <c r="AB8" s="21"/>
      <c r="AC8" s="21"/>
      <c r="AD8" s="21"/>
      <c r="AE8" s="23">
        <f t="shared" si="3"/>
        <v>0</v>
      </c>
    </row>
    <row r="9">
      <c r="A9" s="24">
        <f t="shared" si="1"/>
        <v>6</v>
      </c>
      <c r="B9" s="25" t="s">
        <v>83</v>
      </c>
      <c r="C9" s="25" t="s">
        <v>84</v>
      </c>
      <c r="D9" s="25" t="s">
        <v>85</v>
      </c>
      <c r="E9" s="26" t="s">
        <v>86</v>
      </c>
      <c r="F9" s="27" t="s">
        <v>87</v>
      </c>
      <c r="G9" s="33" t="s">
        <v>88</v>
      </c>
      <c r="H9" s="28" t="s">
        <v>55</v>
      </c>
      <c r="I9" s="25" t="s">
        <v>89</v>
      </c>
      <c r="J9" s="29">
        <v>-5.1875</v>
      </c>
      <c r="K9" s="29">
        <v>-37.3441</v>
      </c>
      <c r="L9" s="25" t="str">
        <f t="shared" si="2"/>
        <v>Lucas</v>
      </c>
      <c r="M9" s="25" t="s">
        <v>90</v>
      </c>
      <c r="N9" s="25" t="s">
        <v>91</v>
      </c>
      <c r="O9" s="25" t="s">
        <v>68</v>
      </c>
      <c r="P9" s="25" t="s">
        <v>46</v>
      </c>
      <c r="Q9" s="25"/>
      <c r="R9" s="25" t="s">
        <v>47</v>
      </c>
      <c r="S9" s="25" t="s">
        <v>48</v>
      </c>
      <c r="T9" s="25"/>
      <c r="U9" s="28"/>
      <c r="V9" s="28"/>
      <c r="W9" s="28"/>
      <c r="X9" s="28"/>
      <c r="Y9" s="28"/>
      <c r="Z9" s="28"/>
      <c r="AA9" s="28"/>
      <c r="AB9" s="28"/>
      <c r="AC9" s="28"/>
      <c r="AD9" s="28"/>
      <c r="AE9" s="30">
        <f t="shared" si="3"/>
        <v>0</v>
      </c>
    </row>
    <row r="10">
      <c r="A10" s="16">
        <f t="shared" si="1"/>
        <v>7</v>
      </c>
      <c r="B10" s="17" t="s">
        <v>92</v>
      </c>
      <c r="C10" s="17" t="s">
        <v>93</v>
      </c>
      <c r="D10" s="17" t="s">
        <v>94</v>
      </c>
      <c r="E10" s="18" t="s">
        <v>95</v>
      </c>
      <c r="F10" s="19" t="s">
        <v>96</v>
      </c>
      <c r="G10" s="20" t="s">
        <v>97</v>
      </c>
      <c r="H10" s="21" t="s">
        <v>98</v>
      </c>
      <c r="I10" s="17" t="s">
        <v>99</v>
      </c>
      <c r="J10" s="22">
        <v>-15.7942</v>
      </c>
      <c r="K10" s="22">
        <v>-47.8822</v>
      </c>
      <c r="L10" s="17" t="str">
        <f t="shared" si="2"/>
        <v>Lucas</v>
      </c>
      <c r="M10" s="17" t="s">
        <v>100</v>
      </c>
      <c r="N10" s="34" t="s">
        <v>101</v>
      </c>
      <c r="O10" s="32" t="s">
        <v>102</v>
      </c>
      <c r="P10" s="17" t="s">
        <v>46</v>
      </c>
      <c r="Q10" s="17"/>
      <c r="R10" s="17" t="s">
        <v>47</v>
      </c>
      <c r="S10" s="17" t="s">
        <v>103</v>
      </c>
      <c r="T10" s="17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3">
        <f t="shared" si="3"/>
        <v>0</v>
      </c>
    </row>
    <row r="11">
      <c r="A11" s="24">
        <f t="shared" si="1"/>
        <v>8</v>
      </c>
      <c r="B11" s="25" t="s">
        <v>104</v>
      </c>
      <c r="C11" s="25" t="s">
        <v>105</v>
      </c>
      <c r="D11" s="25" t="s">
        <v>106</v>
      </c>
      <c r="E11" s="26" t="s">
        <v>107</v>
      </c>
      <c r="F11" s="27" t="s">
        <v>108</v>
      </c>
      <c r="G11" s="27" t="s">
        <v>109</v>
      </c>
      <c r="H11" s="28" t="s">
        <v>55</v>
      </c>
      <c r="I11" s="25" t="s">
        <v>110</v>
      </c>
      <c r="J11" s="29">
        <v>-8.0476</v>
      </c>
      <c r="K11" s="29">
        <v>-34.877</v>
      </c>
      <c r="L11" s="25" t="str">
        <f t="shared" si="2"/>
        <v>Caio</v>
      </c>
      <c r="M11" s="25" t="s">
        <v>111</v>
      </c>
      <c r="N11" s="25" t="s">
        <v>44</v>
      </c>
      <c r="O11" s="25" t="s">
        <v>45</v>
      </c>
      <c r="P11" s="25" t="s">
        <v>112</v>
      </c>
      <c r="Q11" s="25"/>
      <c r="R11" s="25" t="s">
        <v>47</v>
      </c>
      <c r="S11" s="25" t="s">
        <v>48</v>
      </c>
      <c r="T11" s="25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30">
        <f t="shared" si="3"/>
        <v>0</v>
      </c>
    </row>
    <row r="12">
      <c r="A12" s="16">
        <f t="shared" si="1"/>
        <v>9</v>
      </c>
      <c r="B12" s="17" t="s">
        <v>113</v>
      </c>
      <c r="C12" s="17" t="s">
        <v>114</v>
      </c>
      <c r="D12" s="17" t="s">
        <v>115</v>
      </c>
      <c r="E12" s="18" t="s">
        <v>116</v>
      </c>
      <c r="F12" s="19" t="s">
        <v>117</v>
      </c>
      <c r="G12" s="20" t="s">
        <v>118</v>
      </c>
      <c r="H12" s="21" t="s">
        <v>98</v>
      </c>
      <c r="I12" s="17" t="s">
        <v>119</v>
      </c>
      <c r="J12" s="22">
        <v>-9.6498</v>
      </c>
      <c r="K12" s="22">
        <v>-35.7089</v>
      </c>
      <c r="L12" s="17" t="str">
        <f t="shared" si="2"/>
        <v>Caio</v>
      </c>
      <c r="M12" s="17" t="s">
        <v>120</v>
      </c>
      <c r="N12" s="17" t="s">
        <v>121</v>
      </c>
      <c r="O12" s="32" t="s">
        <v>68</v>
      </c>
      <c r="P12" s="17" t="s">
        <v>112</v>
      </c>
      <c r="Q12" s="17"/>
      <c r="R12" s="17" t="s">
        <v>47</v>
      </c>
      <c r="S12" s="17" t="s">
        <v>122</v>
      </c>
      <c r="T12" s="17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3">
        <f t="shared" si="3"/>
        <v>0</v>
      </c>
    </row>
    <row r="13">
      <c r="A13" s="24">
        <f t="shared" si="1"/>
        <v>10</v>
      </c>
      <c r="B13" s="25" t="s">
        <v>123</v>
      </c>
      <c r="C13" s="25" t="s">
        <v>124</v>
      </c>
      <c r="D13" s="25" t="s">
        <v>125</v>
      </c>
      <c r="E13" s="26" t="s">
        <v>126</v>
      </c>
      <c r="F13" s="27" t="s">
        <v>127</v>
      </c>
      <c r="G13" s="27" t="s">
        <v>128</v>
      </c>
      <c r="H13" s="28" t="s">
        <v>98</v>
      </c>
      <c r="I13" s="25" t="s">
        <v>129</v>
      </c>
      <c r="J13" s="29">
        <v>-3.7319</v>
      </c>
      <c r="K13" s="29">
        <v>-38.5267</v>
      </c>
      <c r="L13" s="25" t="str">
        <f t="shared" si="2"/>
        <v>Caio</v>
      </c>
      <c r="M13" s="25" t="s">
        <v>57</v>
      </c>
      <c r="N13" s="34" t="s">
        <v>101</v>
      </c>
      <c r="O13" s="35" t="s">
        <v>130</v>
      </c>
      <c r="P13" s="25" t="s">
        <v>112</v>
      </c>
      <c r="Q13" s="25"/>
      <c r="R13" s="25" t="s">
        <v>47</v>
      </c>
      <c r="S13" s="25" t="s">
        <v>103</v>
      </c>
      <c r="T13" s="25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30">
        <f t="shared" si="3"/>
        <v>0</v>
      </c>
    </row>
    <row r="14">
      <c r="A14" s="16">
        <f t="shared" si="1"/>
        <v>11</v>
      </c>
      <c r="B14" s="17" t="s">
        <v>131</v>
      </c>
      <c r="C14" s="17" t="s">
        <v>132</v>
      </c>
      <c r="D14" s="17" t="s">
        <v>133</v>
      </c>
      <c r="E14" s="18" t="s">
        <v>134</v>
      </c>
      <c r="F14" s="19" t="s">
        <v>135</v>
      </c>
      <c r="G14" s="19" t="s">
        <v>136</v>
      </c>
      <c r="H14" s="21" t="s">
        <v>137</v>
      </c>
      <c r="I14" s="17" t="s">
        <v>138</v>
      </c>
      <c r="J14" s="22">
        <v>-10.4434</v>
      </c>
      <c r="K14" s="22">
        <v>-45.1619</v>
      </c>
      <c r="L14" s="17" t="str">
        <f t="shared" si="2"/>
        <v>Caio</v>
      </c>
      <c r="M14" s="17" t="s">
        <v>139</v>
      </c>
      <c r="N14" s="32" t="s">
        <v>140</v>
      </c>
      <c r="O14" s="32" t="s">
        <v>102</v>
      </c>
      <c r="P14" s="17" t="s">
        <v>112</v>
      </c>
      <c r="Q14" s="17"/>
      <c r="R14" s="17" t="s">
        <v>47</v>
      </c>
      <c r="S14" s="17" t="s">
        <v>141</v>
      </c>
      <c r="T14" s="17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3">
        <f t="shared" si="3"/>
        <v>0</v>
      </c>
    </row>
    <row r="15">
      <c r="A15" s="24">
        <f t="shared" si="1"/>
        <v>12</v>
      </c>
      <c r="B15" s="25" t="s">
        <v>142</v>
      </c>
      <c r="C15" s="25" t="s">
        <v>143</v>
      </c>
      <c r="D15" s="25" t="s">
        <v>144</v>
      </c>
      <c r="E15" s="26" t="s">
        <v>145</v>
      </c>
      <c r="F15" s="27" t="s">
        <v>146</v>
      </c>
      <c r="G15" s="27" t="s">
        <v>147</v>
      </c>
      <c r="H15" s="28" t="s">
        <v>148</v>
      </c>
      <c r="I15" s="25" t="s">
        <v>149</v>
      </c>
      <c r="J15" s="29">
        <v>-9.3891</v>
      </c>
      <c r="K15" s="29">
        <v>-40.5028</v>
      </c>
      <c r="L15" s="25" t="str">
        <f t="shared" si="2"/>
        <v>Caio</v>
      </c>
      <c r="M15" s="25" t="s">
        <v>150</v>
      </c>
      <c r="N15" s="35" t="s">
        <v>151</v>
      </c>
      <c r="O15" s="35" t="s">
        <v>68</v>
      </c>
      <c r="P15" s="25" t="s">
        <v>112</v>
      </c>
      <c r="Q15" s="25"/>
      <c r="R15" s="25" t="s">
        <v>47</v>
      </c>
      <c r="S15" s="25" t="s">
        <v>152</v>
      </c>
      <c r="T15" s="25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30">
        <f t="shared" si="3"/>
        <v>0</v>
      </c>
    </row>
    <row r="16">
      <c r="A16" s="16">
        <f t="shared" si="1"/>
        <v>13</v>
      </c>
      <c r="B16" s="17" t="s">
        <v>153</v>
      </c>
      <c r="C16" s="17" t="s">
        <v>154</v>
      </c>
      <c r="D16" s="17" t="s">
        <v>155</v>
      </c>
      <c r="E16" s="18" t="s">
        <v>156</v>
      </c>
      <c r="F16" s="19" t="s">
        <v>157</v>
      </c>
      <c r="G16" s="19" t="s">
        <v>158</v>
      </c>
      <c r="H16" s="21" t="s">
        <v>55</v>
      </c>
      <c r="I16" s="17" t="s">
        <v>159</v>
      </c>
      <c r="J16" s="22">
        <v>-8.0476</v>
      </c>
      <c r="K16" s="22">
        <v>-34.877</v>
      </c>
      <c r="L16" s="17" t="str">
        <f t="shared" si="2"/>
        <v>Caio</v>
      </c>
      <c r="M16" s="17" t="s">
        <v>111</v>
      </c>
      <c r="N16" s="17" t="s">
        <v>44</v>
      </c>
      <c r="O16" s="17" t="s">
        <v>45</v>
      </c>
      <c r="P16" s="17" t="s">
        <v>112</v>
      </c>
      <c r="Q16" s="17"/>
      <c r="R16" s="17" t="s">
        <v>47</v>
      </c>
      <c r="S16" s="17" t="s">
        <v>48</v>
      </c>
      <c r="T16" s="17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3">
        <f t="shared" si="3"/>
        <v>0</v>
      </c>
    </row>
    <row r="17">
      <c r="A17" s="24">
        <f t="shared" si="1"/>
        <v>14</v>
      </c>
      <c r="B17" s="25" t="s">
        <v>160</v>
      </c>
      <c r="C17" s="25" t="s">
        <v>161</v>
      </c>
      <c r="D17" s="25" t="s">
        <v>162</v>
      </c>
      <c r="E17" s="26" t="s">
        <v>163</v>
      </c>
      <c r="F17" s="27" t="s">
        <v>164</v>
      </c>
      <c r="G17" s="27" t="s">
        <v>165</v>
      </c>
      <c r="H17" s="28" t="s">
        <v>166</v>
      </c>
      <c r="I17" s="25" t="s">
        <v>167</v>
      </c>
      <c r="J17" s="29">
        <v>-12.9777</v>
      </c>
      <c r="K17" s="29">
        <v>-38.5016</v>
      </c>
      <c r="L17" s="25" t="str">
        <f t="shared" si="2"/>
        <v>Caio</v>
      </c>
      <c r="M17" s="25" t="s">
        <v>168</v>
      </c>
      <c r="N17" s="25" t="s">
        <v>67</v>
      </c>
      <c r="O17" s="25" t="s">
        <v>45</v>
      </c>
      <c r="P17" s="25" t="s">
        <v>112</v>
      </c>
      <c r="Q17" s="25"/>
      <c r="R17" s="25" t="s">
        <v>47</v>
      </c>
      <c r="S17" s="25" t="s">
        <v>48</v>
      </c>
      <c r="T17" s="25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30">
        <f t="shared" si="3"/>
        <v>0</v>
      </c>
    </row>
    <row r="18">
      <c r="A18" s="16">
        <f t="shared" si="1"/>
        <v>15</v>
      </c>
      <c r="B18" s="17" t="s">
        <v>169</v>
      </c>
      <c r="C18" s="17" t="s">
        <v>170</v>
      </c>
      <c r="D18" s="17" t="s">
        <v>171</v>
      </c>
      <c r="E18" s="18" t="s">
        <v>172</v>
      </c>
      <c r="F18" s="19" t="s">
        <v>173</v>
      </c>
      <c r="G18" s="19" t="s">
        <v>174</v>
      </c>
      <c r="H18" s="21" t="s">
        <v>98</v>
      </c>
      <c r="I18" s="17" t="s">
        <v>175</v>
      </c>
      <c r="J18" s="22">
        <v>-22.9068</v>
      </c>
      <c r="K18" s="22">
        <v>-43.1729</v>
      </c>
      <c r="L18" s="17" t="str">
        <f t="shared" si="2"/>
        <v>Caio</v>
      </c>
      <c r="M18" s="17"/>
      <c r="N18" s="32" t="s">
        <v>176</v>
      </c>
      <c r="O18" s="32" t="s">
        <v>68</v>
      </c>
      <c r="P18" s="17" t="s">
        <v>177</v>
      </c>
      <c r="Q18" s="17"/>
      <c r="R18" s="17" t="s">
        <v>47</v>
      </c>
      <c r="S18" s="17" t="s">
        <v>103</v>
      </c>
      <c r="T18" s="17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3">
        <f t="shared" si="3"/>
        <v>0</v>
      </c>
    </row>
    <row r="19">
      <c r="A19" s="24">
        <f t="shared" si="1"/>
        <v>16</v>
      </c>
      <c r="B19" s="25" t="s">
        <v>178</v>
      </c>
      <c r="C19" s="25" t="s">
        <v>179</v>
      </c>
      <c r="D19" s="25" t="s">
        <v>180</v>
      </c>
      <c r="E19" s="26" t="s">
        <v>181</v>
      </c>
      <c r="F19" s="27" t="s">
        <v>182</v>
      </c>
      <c r="G19" s="33" t="s">
        <v>183</v>
      </c>
      <c r="H19" s="28" t="s">
        <v>148</v>
      </c>
      <c r="I19" s="25" t="s">
        <v>184</v>
      </c>
      <c r="J19" s="29">
        <v>-9.6619375</v>
      </c>
      <c r="K19" s="29">
        <v>-35.7406837</v>
      </c>
      <c r="L19" s="25" t="str">
        <f t="shared" si="2"/>
        <v>Caio</v>
      </c>
      <c r="M19" s="25"/>
      <c r="N19" s="35" t="s">
        <v>121</v>
      </c>
      <c r="O19" s="25" t="s">
        <v>68</v>
      </c>
      <c r="P19" s="25" t="s">
        <v>177</v>
      </c>
      <c r="Q19" s="25"/>
      <c r="R19" s="25" t="s">
        <v>47</v>
      </c>
      <c r="S19" s="25" t="s">
        <v>152</v>
      </c>
      <c r="T19" s="25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30">
        <f t="shared" si="3"/>
        <v>0</v>
      </c>
    </row>
    <row r="20">
      <c r="A20" s="36">
        <f t="shared" si="1"/>
        <v>17</v>
      </c>
      <c r="B20" s="37" t="s">
        <v>185</v>
      </c>
      <c r="C20" s="37" t="s">
        <v>186</v>
      </c>
      <c r="D20" s="37" t="s">
        <v>187</v>
      </c>
      <c r="E20" s="38" t="s">
        <v>188</v>
      </c>
      <c r="F20" s="39" t="s">
        <v>189</v>
      </c>
      <c r="G20" s="39" t="s">
        <v>190</v>
      </c>
      <c r="H20" s="40" t="s">
        <v>98</v>
      </c>
      <c r="I20" s="37" t="s">
        <v>191</v>
      </c>
      <c r="J20" s="41">
        <v>-12.9777</v>
      </c>
      <c r="K20" s="41">
        <v>-38.5016</v>
      </c>
      <c r="L20" s="37" t="str">
        <f t="shared" si="2"/>
        <v>Caio</v>
      </c>
      <c r="M20" s="37" t="s">
        <v>168</v>
      </c>
      <c r="N20" s="37" t="s">
        <v>67</v>
      </c>
      <c r="O20" s="34" t="s">
        <v>82</v>
      </c>
      <c r="P20" s="37" t="s">
        <v>177</v>
      </c>
      <c r="Q20" s="37"/>
      <c r="R20" s="37" t="s">
        <v>47</v>
      </c>
      <c r="S20" s="37" t="s">
        <v>122</v>
      </c>
      <c r="T20" s="37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2">
        <f t="shared" si="3"/>
        <v>0</v>
      </c>
    </row>
    <row r="21">
      <c r="A21" s="24">
        <f t="shared" si="1"/>
        <v>18</v>
      </c>
      <c r="B21" s="25" t="s">
        <v>192</v>
      </c>
      <c r="C21" s="25" t="s">
        <v>193</v>
      </c>
      <c r="D21" s="25" t="s">
        <v>194</v>
      </c>
      <c r="E21" s="26" t="s">
        <v>192</v>
      </c>
      <c r="F21" s="27" t="s">
        <v>195</v>
      </c>
      <c r="G21" s="33" t="s">
        <v>196</v>
      </c>
      <c r="H21" s="28" t="s">
        <v>55</v>
      </c>
      <c r="I21" s="25" t="s">
        <v>197</v>
      </c>
      <c r="J21" s="29">
        <v>-2.5391</v>
      </c>
      <c r="K21" s="29">
        <v>-44.2829</v>
      </c>
      <c r="L21" s="25" t="str">
        <f t="shared" si="2"/>
        <v>Caio</v>
      </c>
      <c r="M21" s="25" t="s">
        <v>198</v>
      </c>
      <c r="N21" s="25" t="s">
        <v>199</v>
      </c>
      <c r="O21" s="35" t="s">
        <v>200</v>
      </c>
      <c r="P21" s="25" t="s">
        <v>177</v>
      </c>
      <c r="Q21" s="25"/>
      <c r="R21" s="25" t="s">
        <v>47</v>
      </c>
      <c r="S21" s="25" t="s">
        <v>48</v>
      </c>
      <c r="T21" s="25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30">
        <f t="shared" si="3"/>
        <v>0</v>
      </c>
    </row>
    <row r="22">
      <c r="A22" s="36">
        <f t="shared" si="1"/>
        <v>19</v>
      </c>
      <c r="B22" s="37" t="s">
        <v>201</v>
      </c>
      <c r="C22" s="37" t="s">
        <v>202</v>
      </c>
      <c r="D22" s="37" t="s">
        <v>203</v>
      </c>
      <c r="E22" s="38" t="s">
        <v>204</v>
      </c>
      <c r="F22" s="39" t="s">
        <v>173</v>
      </c>
      <c r="G22" s="39" t="s">
        <v>174</v>
      </c>
      <c r="H22" s="40" t="s">
        <v>98</v>
      </c>
      <c r="I22" s="37"/>
      <c r="J22" s="41"/>
      <c r="K22" s="41"/>
      <c r="L22" s="37" t="str">
        <f t="shared" si="2"/>
        <v>Caio</v>
      </c>
      <c r="M22" s="37"/>
      <c r="N22" s="34" t="s">
        <v>101</v>
      </c>
      <c r="O22" s="37" t="s">
        <v>45</v>
      </c>
      <c r="P22" s="37" t="s">
        <v>177</v>
      </c>
      <c r="Q22" s="37"/>
      <c r="R22" s="37" t="s">
        <v>47</v>
      </c>
      <c r="S22" s="37" t="s">
        <v>103</v>
      </c>
      <c r="T22" s="37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2">
        <f t="shared" si="3"/>
        <v>0</v>
      </c>
    </row>
    <row r="23">
      <c r="A23" s="24">
        <f t="shared" si="1"/>
        <v>20</v>
      </c>
      <c r="B23" s="25" t="s">
        <v>205</v>
      </c>
      <c r="C23" s="25" t="s">
        <v>206</v>
      </c>
      <c r="D23" s="25" t="s">
        <v>207</v>
      </c>
      <c r="E23" s="26" t="s">
        <v>208</v>
      </c>
      <c r="F23" s="43" t="s">
        <v>72</v>
      </c>
      <c r="G23" s="43" t="s">
        <v>72</v>
      </c>
      <c r="H23" s="43" t="s">
        <v>72</v>
      </c>
      <c r="I23" s="25" t="s">
        <v>209</v>
      </c>
      <c r="J23" s="29">
        <v>-9.6242</v>
      </c>
      <c r="K23" s="29">
        <v>-37.7569</v>
      </c>
      <c r="L23" s="25" t="str">
        <f t="shared" si="2"/>
        <v>Caio</v>
      </c>
      <c r="M23" s="25" t="s">
        <v>210</v>
      </c>
      <c r="N23" s="25" t="s">
        <v>121</v>
      </c>
      <c r="O23" s="25" t="s">
        <v>68</v>
      </c>
      <c r="P23" s="25" t="s">
        <v>177</v>
      </c>
      <c r="Q23" s="25"/>
      <c r="R23" s="25" t="s">
        <v>47</v>
      </c>
      <c r="S23" s="44" t="s">
        <v>72</v>
      </c>
      <c r="T23" s="25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30">
        <f t="shared" si="3"/>
        <v>0</v>
      </c>
    </row>
    <row r="24">
      <c r="A24" s="36">
        <f t="shared" si="1"/>
        <v>21</v>
      </c>
      <c r="B24" s="37" t="s">
        <v>211</v>
      </c>
      <c r="C24" s="37" t="s">
        <v>212</v>
      </c>
      <c r="D24" s="37" t="s">
        <v>213</v>
      </c>
      <c r="E24" s="38" t="s">
        <v>214</v>
      </c>
      <c r="F24" s="39" t="s">
        <v>215</v>
      </c>
      <c r="G24" s="39" t="s">
        <v>216</v>
      </c>
      <c r="H24" s="40" t="s">
        <v>217</v>
      </c>
      <c r="I24" s="37" t="s">
        <v>218</v>
      </c>
      <c r="J24" s="41">
        <v>-5.0892</v>
      </c>
      <c r="K24" s="41">
        <v>-42.8019</v>
      </c>
      <c r="L24" s="37" t="str">
        <f t="shared" si="2"/>
        <v>Lucas</v>
      </c>
      <c r="M24" s="37" t="s">
        <v>219</v>
      </c>
      <c r="N24" s="37" t="s">
        <v>220</v>
      </c>
      <c r="O24" s="34" t="s">
        <v>221</v>
      </c>
      <c r="P24" s="37" t="s">
        <v>222</v>
      </c>
      <c r="Q24" s="37"/>
      <c r="R24" s="37" t="s">
        <v>223</v>
      </c>
      <c r="S24" s="37" t="s">
        <v>224</v>
      </c>
      <c r="T24" s="37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2">
        <f t="shared" si="3"/>
        <v>0</v>
      </c>
    </row>
    <row r="25">
      <c r="A25" s="24">
        <f t="shared" si="1"/>
        <v>22</v>
      </c>
      <c r="B25" s="25" t="s">
        <v>225</v>
      </c>
      <c r="C25" s="25" t="s">
        <v>226</v>
      </c>
      <c r="D25" s="25" t="s">
        <v>227</v>
      </c>
      <c r="E25" s="26" t="s">
        <v>228</v>
      </c>
      <c r="F25" s="27" t="s">
        <v>229</v>
      </c>
      <c r="G25" s="27" t="s">
        <v>230</v>
      </c>
      <c r="H25" s="28" t="s">
        <v>231</v>
      </c>
      <c r="I25" s="25" t="s">
        <v>232</v>
      </c>
      <c r="J25" s="29">
        <v>-8.3993</v>
      </c>
      <c r="K25" s="29">
        <v>-35.0639</v>
      </c>
      <c r="L25" s="25" t="str">
        <f t="shared" si="2"/>
        <v>Lucas</v>
      </c>
      <c r="M25" s="25" t="s">
        <v>233</v>
      </c>
      <c r="N25" s="25" t="s">
        <v>44</v>
      </c>
      <c r="O25" s="25" t="s">
        <v>45</v>
      </c>
      <c r="P25" s="25" t="s">
        <v>222</v>
      </c>
      <c r="Q25" s="25"/>
      <c r="R25" s="25" t="s">
        <v>47</v>
      </c>
      <c r="S25" s="25" t="s">
        <v>152</v>
      </c>
      <c r="T25" s="25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30">
        <f t="shared" si="3"/>
        <v>0</v>
      </c>
    </row>
    <row r="26">
      <c r="A26" s="36">
        <f t="shared" si="1"/>
        <v>23</v>
      </c>
      <c r="B26" s="37" t="s">
        <v>234</v>
      </c>
      <c r="C26" s="37" t="s">
        <v>235</v>
      </c>
      <c r="D26" s="37" t="s">
        <v>236</v>
      </c>
      <c r="E26" s="38" t="s">
        <v>237</v>
      </c>
      <c r="F26" s="39" t="s">
        <v>238</v>
      </c>
      <c r="G26" s="39" t="s">
        <v>239</v>
      </c>
      <c r="H26" s="40" t="s">
        <v>240</v>
      </c>
      <c r="I26" s="37" t="s">
        <v>241</v>
      </c>
      <c r="J26" s="41">
        <v>-12.9777</v>
      </c>
      <c r="K26" s="41">
        <v>-38.5016</v>
      </c>
      <c r="L26" s="37" t="str">
        <f t="shared" si="2"/>
        <v>Lucas</v>
      </c>
      <c r="M26" s="37" t="s">
        <v>168</v>
      </c>
      <c r="N26" s="37" t="s">
        <v>67</v>
      </c>
      <c r="O26" s="37" t="s">
        <v>45</v>
      </c>
      <c r="P26" s="37" t="s">
        <v>222</v>
      </c>
      <c r="Q26" s="37"/>
      <c r="R26" s="37" t="s">
        <v>47</v>
      </c>
      <c r="S26" s="37" t="s">
        <v>141</v>
      </c>
      <c r="T26" s="37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2">
        <f t="shared" si="3"/>
        <v>0</v>
      </c>
    </row>
    <row r="27">
      <c r="A27" s="24">
        <f t="shared" si="1"/>
        <v>24</v>
      </c>
      <c r="B27" s="25" t="s">
        <v>242</v>
      </c>
      <c r="C27" s="25" t="s">
        <v>243</v>
      </c>
      <c r="D27" s="25" t="s">
        <v>244</v>
      </c>
      <c r="E27" s="26" t="s">
        <v>245</v>
      </c>
      <c r="F27" s="27" t="s">
        <v>246</v>
      </c>
      <c r="G27" s="33" t="s">
        <v>247</v>
      </c>
      <c r="H27" s="28" t="s">
        <v>248</v>
      </c>
      <c r="I27" s="25" t="s">
        <v>249</v>
      </c>
      <c r="J27" s="29">
        <v>-5.7945</v>
      </c>
      <c r="K27" s="29">
        <v>-35.211</v>
      </c>
      <c r="L27" s="25" t="str">
        <f t="shared" si="2"/>
        <v>Lucas</v>
      </c>
      <c r="M27" s="25" t="s">
        <v>250</v>
      </c>
      <c r="N27" s="25" t="s">
        <v>91</v>
      </c>
      <c r="O27" s="35" t="s">
        <v>251</v>
      </c>
      <c r="P27" s="25" t="s">
        <v>222</v>
      </c>
      <c r="Q27" s="25"/>
      <c r="R27" s="25" t="s">
        <v>47</v>
      </c>
      <c r="S27" s="45" t="s">
        <v>103</v>
      </c>
      <c r="T27" s="25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30">
        <f t="shared" si="3"/>
        <v>0</v>
      </c>
    </row>
    <row r="28">
      <c r="A28" s="36">
        <f t="shared" si="1"/>
        <v>25</v>
      </c>
      <c r="B28" s="37" t="s">
        <v>252</v>
      </c>
      <c r="C28" s="37" t="s">
        <v>253</v>
      </c>
      <c r="D28" s="37" t="s">
        <v>254</v>
      </c>
      <c r="E28" s="38" t="s">
        <v>255</v>
      </c>
      <c r="F28" s="39" t="s">
        <v>256</v>
      </c>
      <c r="G28" s="39" t="s">
        <v>257</v>
      </c>
      <c r="H28" s="40" t="s">
        <v>55</v>
      </c>
      <c r="I28" s="37" t="s">
        <v>258</v>
      </c>
      <c r="J28" s="41">
        <v>-8.0476</v>
      </c>
      <c r="K28" s="41">
        <v>-34.877</v>
      </c>
      <c r="L28" s="37" t="str">
        <f t="shared" si="2"/>
        <v>Lucas</v>
      </c>
      <c r="M28" s="37" t="s">
        <v>111</v>
      </c>
      <c r="N28" s="34" t="s">
        <v>101</v>
      </c>
      <c r="O28" s="34" t="s">
        <v>259</v>
      </c>
      <c r="P28" s="37" t="s">
        <v>222</v>
      </c>
      <c r="Q28" s="37"/>
      <c r="R28" s="37" t="s">
        <v>47</v>
      </c>
      <c r="S28" s="37" t="s">
        <v>48</v>
      </c>
      <c r="T28" s="37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2">
        <f t="shared" si="3"/>
        <v>0</v>
      </c>
    </row>
    <row r="29">
      <c r="A29" s="24">
        <f t="shared" si="1"/>
        <v>26</v>
      </c>
      <c r="B29" s="25" t="s">
        <v>260</v>
      </c>
      <c r="C29" s="25" t="s">
        <v>261</v>
      </c>
      <c r="D29" s="25" t="s">
        <v>262</v>
      </c>
      <c r="E29" s="26" t="s">
        <v>263</v>
      </c>
      <c r="F29" s="27" t="s">
        <v>264</v>
      </c>
      <c r="G29" s="27" t="s">
        <v>265</v>
      </c>
      <c r="H29" s="28" t="s">
        <v>98</v>
      </c>
      <c r="I29" s="25" t="s">
        <v>266</v>
      </c>
      <c r="J29" s="29">
        <v>-15.7942</v>
      </c>
      <c r="K29" s="29">
        <v>-47.8822</v>
      </c>
      <c r="L29" s="25" t="str">
        <f t="shared" si="2"/>
        <v>Lucas</v>
      </c>
      <c r="M29" s="25" t="s">
        <v>100</v>
      </c>
      <c r="N29" s="25" t="s">
        <v>101</v>
      </c>
      <c r="O29" s="25" t="s">
        <v>259</v>
      </c>
      <c r="P29" s="25" t="s">
        <v>222</v>
      </c>
      <c r="Q29" s="25"/>
      <c r="R29" s="25" t="s">
        <v>47</v>
      </c>
      <c r="S29" s="25" t="s">
        <v>103</v>
      </c>
      <c r="T29" s="25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30">
        <f t="shared" si="3"/>
        <v>0</v>
      </c>
    </row>
    <row r="30">
      <c r="A30" s="36">
        <f t="shared" si="1"/>
        <v>27</v>
      </c>
      <c r="B30" s="37" t="s">
        <v>267</v>
      </c>
      <c r="C30" s="37" t="s">
        <v>268</v>
      </c>
      <c r="D30" s="37" t="s">
        <v>269</v>
      </c>
      <c r="E30" s="38" t="s">
        <v>270</v>
      </c>
      <c r="F30" s="39" t="s">
        <v>72</v>
      </c>
      <c r="G30" s="46" t="s">
        <v>271</v>
      </c>
      <c r="H30" s="40" t="s">
        <v>73</v>
      </c>
      <c r="I30" s="37" t="s">
        <v>272</v>
      </c>
      <c r="J30" s="41">
        <v>-15.7942</v>
      </c>
      <c r="K30" s="41">
        <v>-47.8822</v>
      </c>
      <c r="L30" s="37" t="str">
        <f t="shared" si="2"/>
        <v>Lucas</v>
      </c>
      <c r="M30" s="37" t="s">
        <v>100</v>
      </c>
      <c r="N30" s="34" t="s">
        <v>101</v>
      </c>
      <c r="O30" s="34" t="s">
        <v>259</v>
      </c>
      <c r="P30" s="37" t="s">
        <v>222</v>
      </c>
      <c r="Q30" s="37"/>
      <c r="R30" s="37" t="s">
        <v>47</v>
      </c>
      <c r="S30" s="37"/>
      <c r="T30" s="37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2">
        <f t="shared" si="3"/>
        <v>0</v>
      </c>
    </row>
    <row r="31">
      <c r="A31" s="24">
        <f t="shared" si="1"/>
        <v>28</v>
      </c>
      <c r="B31" s="25" t="s">
        <v>273</v>
      </c>
      <c r="C31" s="25" t="s">
        <v>274</v>
      </c>
      <c r="D31" s="25" t="s">
        <v>275</v>
      </c>
      <c r="E31" s="26" t="s">
        <v>276</v>
      </c>
      <c r="F31" s="27" t="s">
        <v>277</v>
      </c>
      <c r="G31" s="27" t="s">
        <v>278</v>
      </c>
      <c r="H31" s="28" t="s">
        <v>98</v>
      </c>
      <c r="I31" s="25" t="s">
        <v>279</v>
      </c>
      <c r="J31" s="29">
        <v>-15.7942</v>
      </c>
      <c r="K31" s="29">
        <v>-47.8822</v>
      </c>
      <c r="L31" s="25" t="str">
        <f t="shared" si="2"/>
        <v>Lucas</v>
      </c>
      <c r="M31" s="25" t="s">
        <v>100</v>
      </c>
      <c r="N31" s="25" t="s">
        <v>101</v>
      </c>
      <c r="O31" s="25" t="s">
        <v>280</v>
      </c>
      <c r="P31" s="25" t="s">
        <v>222</v>
      </c>
      <c r="Q31" s="25"/>
      <c r="R31" s="25" t="s">
        <v>47</v>
      </c>
      <c r="S31" s="25" t="s">
        <v>103</v>
      </c>
      <c r="T31" s="25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30">
        <f t="shared" si="3"/>
        <v>0</v>
      </c>
    </row>
    <row r="32">
      <c r="A32" s="36">
        <f t="shared" si="1"/>
        <v>29</v>
      </c>
      <c r="B32" s="37" t="s">
        <v>281</v>
      </c>
      <c r="C32" s="37" t="s">
        <v>282</v>
      </c>
      <c r="D32" s="37" t="s">
        <v>283</v>
      </c>
      <c r="E32" s="38" t="s">
        <v>284</v>
      </c>
      <c r="F32" s="39" t="s">
        <v>285</v>
      </c>
      <c r="G32" s="39" t="s">
        <v>286</v>
      </c>
      <c r="H32" s="40" t="s">
        <v>148</v>
      </c>
      <c r="I32" s="37" t="s">
        <v>287</v>
      </c>
      <c r="J32" s="41">
        <v>-2.5391</v>
      </c>
      <c r="K32" s="41">
        <v>-44.2829</v>
      </c>
      <c r="L32" s="37" t="str">
        <f t="shared" si="2"/>
        <v>Lucas</v>
      </c>
      <c r="M32" s="37" t="s">
        <v>198</v>
      </c>
      <c r="N32" s="37" t="s">
        <v>199</v>
      </c>
      <c r="O32" s="37" t="s">
        <v>288</v>
      </c>
      <c r="P32" s="37" t="s">
        <v>222</v>
      </c>
      <c r="Q32" s="37"/>
      <c r="R32" s="37" t="s">
        <v>47</v>
      </c>
      <c r="S32" s="37" t="s">
        <v>48</v>
      </c>
      <c r="T32" s="37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2">
        <f t="shared" si="3"/>
        <v>0</v>
      </c>
    </row>
    <row r="33">
      <c r="A33" s="24">
        <f t="shared" si="1"/>
        <v>30</v>
      </c>
      <c r="B33" s="25" t="s">
        <v>289</v>
      </c>
      <c r="C33" s="25" t="s">
        <v>290</v>
      </c>
      <c r="D33" s="25" t="s">
        <v>291</v>
      </c>
      <c r="E33" s="26" t="s">
        <v>292</v>
      </c>
      <c r="F33" s="27" t="s">
        <v>293</v>
      </c>
      <c r="G33" s="33" t="s">
        <v>294</v>
      </c>
      <c r="H33" s="28" t="s">
        <v>295</v>
      </c>
      <c r="I33" s="25" t="s">
        <v>296</v>
      </c>
      <c r="J33" s="29">
        <v>-2.5391</v>
      </c>
      <c r="K33" s="29">
        <v>-44.2829</v>
      </c>
      <c r="L33" s="25" t="str">
        <f t="shared" si="2"/>
        <v>Lucas</v>
      </c>
      <c r="M33" s="25" t="s">
        <v>198</v>
      </c>
      <c r="N33" s="25" t="s">
        <v>199</v>
      </c>
      <c r="O33" s="25" t="s">
        <v>288</v>
      </c>
      <c r="P33" s="25" t="s">
        <v>222</v>
      </c>
      <c r="Q33" s="25"/>
      <c r="R33" s="25" t="s">
        <v>47</v>
      </c>
      <c r="S33" s="25" t="s">
        <v>297</v>
      </c>
      <c r="T33" s="25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30">
        <f t="shared" si="3"/>
        <v>0</v>
      </c>
    </row>
    <row r="34">
      <c r="A34" s="36">
        <f t="shared" si="1"/>
        <v>31</v>
      </c>
      <c r="B34" s="37" t="s">
        <v>298</v>
      </c>
      <c r="C34" s="37" t="s">
        <v>299</v>
      </c>
      <c r="D34" s="37" t="s">
        <v>300</v>
      </c>
      <c r="E34" s="38" t="s">
        <v>301</v>
      </c>
      <c r="F34" s="39" t="s">
        <v>302</v>
      </c>
      <c r="G34" s="39" t="s">
        <v>303</v>
      </c>
      <c r="H34" s="40" t="s">
        <v>98</v>
      </c>
      <c r="I34" s="37" t="s">
        <v>304</v>
      </c>
      <c r="J34" s="41">
        <v>-8.0476</v>
      </c>
      <c r="K34" s="41">
        <v>-34.877</v>
      </c>
      <c r="L34" s="37" t="str">
        <f t="shared" si="2"/>
        <v>Lucas</v>
      </c>
      <c r="M34" s="37" t="s">
        <v>111</v>
      </c>
      <c r="N34" s="37" t="s">
        <v>44</v>
      </c>
      <c r="O34" s="34" t="s">
        <v>251</v>
      </c>
      <c r="P34" s="37" t="s">
        <v>222</v>
      </c>
      <c r="Q34" s="37"/>
      <c r="R34" s="37" t="s">
        <v>47</v>
      </c>
      <c r="S34" s="37" t="s">
        <v>122</v>
      </c>
      <c r="T34" s="37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2">
        <f t="shared" si="3"/>
        <v>0</v>
      </c>
    </row>
    <row r="35">
      <c r="A35" s="24">
        <f t="shared" si="1"/>
        <v>32</v>
      </c>
      <c r="B35" s="25" t="s">
        <v>305</v>
      </c>
      <c r="C35" s="25" t="s">
        <v>306</v>
      </c>
      <c r="D35" s="25" t="s">
        <v>307</v>
      </c>
      <c r="E35" s="26" t="s">
        <v>172</v>
      </c>
      <c r="F35" s="27" t="s">
        <v>173</v>
      </c>
      <c r="G35" s="27" t="s">
        <v>174</v>
      </c>
      <c r="H35" s="28" t="s">
        <v>98</v>
      </c>
      <c r="I35" s="25" t="s">
        <v>308</v>
      </c>
      <c r="J35" s="29">
        <v>-15.7942</v>
      </c>
      <c r="K35" s="29">
        <v>-47.8822</v>
      </c>
      <c r="L35" s="25" t="str">
        <f t="shared" si="2"/>
        <v>Lucas</v>
      </c>
      <c r="M35" s="25" t="s">
        <v>100</v>
      </c>
      <c r="N35" s="25" t="s">
        <v>309</v>
      </c>
      <c r="O35" s="35" t="s">
        <v>221</v>
      </c>
      <c r="P35" s="25" t="s">
        <v>222</v>
      </c>
      <c r="Q35" s="25"/>
      <c r="R35" s="25" t="s">
        <v>47</v>
      </c>
      <c r="S35" s="25" t="s">
        <v>103</v>
      </c>
      <c r="T35" s="25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30">
        <f t="shared" si="3"/>
        <v>0</v>
      </c>
    </row>
    <row r="36">
      <c r="A36" s="36">
        <f t="shared" si="1"/>
        <v>33</v>
      </c>
      <c r="B36" s="37" t="s">
        <v>310</v>
      </c>
      <c r="C36" s="37" t="s">
        <v>311</v>
      </c>
      <c r="D36" s="37" t="s">
        <v>312</v>
      </c>
      <c r="E36" s="38" t="s">
        <v>313</v>
      </c>
      <c r="F36" s="39" t="s">
        <v>314</v>
      </c>
      <c r="G36" s="39" t="s">
        <v>315</v>
      </c>
      <c r="H36" s="40" t="s">
        <v>55</v>
      </c>
      <c r="I36" s="37" t="s">
        <v>316</v>
      </c>
      <c r="J36" s="41">
        <v>-9.3856</v>
      </c>
      <c r="K36" s="41">
        <v>-37.9966</v>
      </c>
      <c r="L36" s="37" t="str">
        <f t="shared" si="2"/>
        <v>Lucas</v>
      </c>
      <c r="M36" s="37" t="s">
        <v>317</v>
      </c>
      <c r="N36" s="37" t="s">
        <v>121</v>
      </c>
      <c r="O36" s="37" t="s">
        <v>68</v>
      </c>
      <c r="P36" s="37" t="s">
        <v>222</v>
      </c>
      <c r="Q36" s="37"/>
      <c r="R36" s="37" t="s">
        <v>47</v>
      </c>
      <c r="S36" s="37" t="s">
        <v>48</v>
      </c>
      <c r="T36" s="37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2">
        <f t="shared" si="3"/>
        <v>0</v>
      </c>
    </row>
    <row r="37">
      <c r="A37" s="24">
        <f t="shared" si="1"/>
        <v>34</v>
      </c>
      <c r="B37" s="25" t="s">
        <v>318</v>
      </c>
      <c r="C37" s="25" t="s">
        <v>319</v>
      </c>
      <c r="D37" s="25" t="s">
        <v>320</v>
      </c>
      <c r="E37" s="26" t="s">
        <v>321</v>
      </c>
      <c r="F37" s="27" t="s">
        <v>322</v>
      </c>
      <c r="G37" s="27"/>
      <c r="H37" s="28" t="s">
        <v>98</v>
      </c>
      <c r="I37" s="25" t="s">
        <v>323</v>
      </c>
      <c r="J37" s="29">
        <v>-3.7319</v>
      </c>
      <c r="K37" s="29">
        <v>-38.5267</v>
      </c>
      <c r="L37" s="25" t="str">
        <f t="shared" si="2"/>
        <v>Leide</v>
      </c>
      <c r="M37" s="25" t="s">
        <v>57</v>
      </c>
      <c r="N37" s="25" t="s">
        <v>58</v>
      </c>
      <c r="O37" s="35" t="s">
        <v>82</v>
      </c>
      <c r="P37" s="25" t="s">
        <v>324</v>
      </c>
      <c r="Q37" s="25"/>
      <c r="R37" s="25" t="s">
        <v>47</v>
      </c>
      <c r="S37" s="25" t="s">
        <v>122</v>
      </c>
      <c r="T37" s="25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30">
        <f t="shared" si="3"/>
        <v>0</v>
      </c>
    </row>
    <row r="38">
      <c r="A38" s="36">
        <f t="shared" si="1"/>
        <v>35</v>
      </c>
      <c r="B38" s="37" t="s">
        <v>325</v>
      </c>
      <c r="C38" s="37" t="s">
        <v>326</v>
      </c>
      <c r="D38" s="37" t="s">
        <v>327</v>
      </c>
      <c r="E38" s="38" t="s">
        <v>328</v>
      </c>
      <c r="F38" s="39" t="s">
        <v>329</v>
      </c>
      <c r="G38" s="39" t="s">
        <v>330</v>
      </c>
      <c r="H38" s="40" t="s">
        <v>98</v>
      </c>
      <c r="I38" s="37" t="s">
        <v>331</v>
      </c>
      <c r="J38" s="41">
        <v>-12.9777</v>
      </c>
      <c r="K38" s="41">
        <v>-38.5016</v>
      </c>
      <c r="L38" s="37" t="str">
        <f t="shared" si="2"/>
        <v>Leide</v>
      </c>
      <c r="M38" s="37" t="s">
        <v>168</v>
      </c>
      <c r="N38" s="37" t="s">
        <v>67</v>
      </c>
      <c r="O38" s="34" t="s">
        <v>82</v>
      </c>
      <c r="P38" s="37" t="s">
        <v>324</v>
      </c>
      <c r="Q38" s="37"/>
      <c r="R38" s="37" t="s">
        <v>47</v>
      </c>
      <c r="S38" s="37" t="s">
        <v>122</v>
      </c>
      <c r="T38" s="37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2">
        <f t="shared" si="3"/>
        <v>0</v>
      </c>
    </row>
    <row r="39">
      <c r="A39" s="24">
        <f t="shared" si="1"/>
        <v>36</v>
      </c>
      <c r="B39" s="25" t="s">
        <v>332</v>
      </c>
      <c r="C39" s="25" t="s">
        <v>333</v>
      </c>
      <c r="D39" s="25" t="s">
        <v>334</v>
      </c>
      <c r="E39" s="26" t="s">
        <v>335</v>
      </c>
      <c r="F39" s="27" t="s">
        <v>336</v>
      </c>
      <c r="G39" s="27" t="s">
        <v>337</v>
      </c>
      <c r="H39" s="28" t="s">
        <v>338</v>
      </c>
      <c r="I39" s="25" t="s">
        <v>339</v>
      </c>
      <c r="J39" s="29">
        <v>-12.9777</v>
      </c>
      <c r="K39" s="29">
        <v>-38.5016</v>
      </c>
      <c r="L39" s="25" t="str">
        <f t="shared" si="2"/>
        <v>Leide</v>
      </c>
      <c r="M39" s="25" t="s">
        <v>168</v>
      </c>
      <c r="N39" s="25" t="s">
        <v>67</v>
      </c>
      <c r="O39" s="25" t="s">
        <v>45</v>
      </c>
      <c r="P39" s="25" t="s">
        <v>324</v>
      </c>
      <c r="Q39" s="25"/>
      <c r="R39" s="25" t="s">
        <v>47</v>
      </c>
      <c r="S39" s="25" t="s">
        <v>224</v>
      </c>
      <c r="T39" s="25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30">
        <f t="shared" si="3"/>
        <v>0</v>
      </c>
    </row>
    <row r="40">
      <c r="A40" s="36">
        <f t="shared" si="1"/>
        <v>37</v>
      </c>
      <c r="B40" s="37" t="s">
        <v>340</v>
      </c>
      <c r="C40" s="37" t="s">
        <v>341</v>
      </c>
      <c r="D40" s="37" t="s">
        <v>342</v>
      </c>
      <c r="E40" s="38" t="s">
        <v>343</v>
      </c>
      <c r="F40" s="39" t="s">
        <v>344</v>
      </c>
      <c r="G40" s="46" t="s">
        <v>345</v>
      </c>
      <c r="H40" s="40" t="s">
        <v>98</v>
      </c>
      <c r="I40" s="37" t="s">
        <v>346</v>
      </c>
      <c r="J40" s="41">
        <v>-9.6498</v>
      </c>
      <c r="K40" s="41">
        <v>-35.7089</v>
      </c>
      <c r="L40" s="37" t="str">
        <f t="shared" si="2"/>
        <v>Leide</v>
      </c>
      <c r="M40" s="37" t="s">
        <v>120</v>
      </c>
      <c r="N40" s="37" t="s">
        <v>121</v>
      </c>
      <c r="O40" s="34" t="s">
        <v>347</v>
      </c>
      <c r="P40" s="37" t="s">
        <v>324</v>
      </c>
      <c r="Q40" s="37"/>
      <c r="R40" s="37" t="s">
        <v>47</v>
      </c>
      <c r="S40" s="37" t="s">
        <v>122</v>
      </c>
      <c r="T40" s="37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2">
        <f t="shared" si="3"/>
        <v>0</v>
      </c>
    </row>
    <row r="41">
      <c r="A41" s="24">
        <f t="shared" si="1"/>
        <v>38</v>
      </c>
      <c r="B41" s="25" t="s">
        <v>348</v>
      </c>
      <c r="C41" s="25" t="s">
        <v>349</v>
      </c>
      <c r="D41" s="25" t="s">
        <v>350</v>
      </c>
      <c r="E41" s="26" t="s">
        <v>351</v>
      </c>
      <c r="F41" s="27" t="s">
        <v>352</v>
      </c>
      <c r="G41" s="33" t="s">
        <v>353</v>
      </c>
      <c r="H41" s="28" t="s">
        <v>98</v>
      </c>
      <c r="I41" s="25" t="s">
        <v>354</v>
      </c>
      <c r="J41" s="29">
        <v>-6.1947</v>
      </c>
      <c r="K41" s="29">
        <v>-35.1583</v>
      </c>
      <c r="L41" s="25" t="str">
        <f t="shared" si="2"/>
        <v>Leide</v>
      </c>
      <c r="M41" s="25" t="s">
        <v>355</v>
      </c>
      <c r="N41" s="25" t="s">
        <v>91</v>
      </c>
      <c r="O41" s="35" t="s">
        <v>68</v>
      </c>
      <c r="P41" s="25" t="s">
        <v>324</v>
      </c>
      <c r="Q41" s="25"/>
      <c r="R41" s="25" t="s">
        <v>47</v>
      </c>
      <c r="S41" s="25" t="s">
        <v>356</v>
      </c>
      <c r="T41" s="25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0">
        <f t="shared" si="3"/>
        <v>0</v>
      </c>
    </row>
    <row r="42">
      <c r="A42" s="36">
        <f t="shared" si="1"/>
        <v>39</v>
      </c>
      <c r="B42" s="37" t="s">
        <v>357</v>
      </c>
      <c r="C42" s="37" t="s">
        <v>358</v>
      </c>
      <c r="D42" s="37" t="s">
        <v>359</v>
      </c>
      <c r="E42" s="38" t="s">
        <v>357</v>
      </c>
      <c r="F42" s="39" t="s">
        <v>360</v>
      </c>
      <c r="G42" s="46" t="s">
        <v>361</v>
      </c>
      <c r="H42" s="40" t="s">
        <v>55</v>
      </c>
      <c r="I42" s="37" t="s">
        <v>362</v>
      </c>
      <c r="J42" s="41">
        <v>-12.9777</v>
      </c>
      <c r="K42" s="41">
        <v>-38.5016</v>
      </c>
      <c r="L42" s="37" t="str">
        <f t="shared" si="2"/>
        <v>Leide</v>
      </c>
      <c r="M42" s="37" t="s">
        <v>168</v>
      </c>
      <c r="N42" s="37" t="s">
        <v>67</v>
      </c>
      <c r="O42" s="34" t="s">
        <v>82</v>
      </c>
      <c r="P42" s="37" t="s">
        <v>324</v>
      </c>
      <c r="Q42" s="37"/>
      <c r="R42" s="37" t="s">
        <v>47</v>
      </c>
      <c r="S42" s="37" t="s">
        <v>48</v>
      </c>
      <c r="T42" s="37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2">
        <f t="shared" si="3"/>
        <v>0</v>
      </c>
    </row>
    <row r="43">
      <c r="A43" s="24">
        <f t="shared" si="1"/>
        <v>40</v>
      </c>
      <c r="B43" s="25" t="s">
        <v>363</v>
      </c>
      <c r="C43" s="25" t="s">
        <v>364</v>
      </c>
      <c r="D43" s="25" t="s">
        <v>365</v>
      </c>
      <c r="E43" s="26" t="s">
        <v>366</v>
      </c>
      <c r="F43" s="27" t="s">
        <v>367</v>
      </c>
      <c r="G43" s="27" t="s">
        <v>368</v>
      </c>
      <c r="H43" s="28" t="s">
        <v>369</v>
      </c>
      <c r="I43" s="25" t="s">
        <v>370</v>
      </c>
      <c r="J43" s="29">
        <v>-3.7322</v>
      </c>
      <c r="K43" s="29">
        <v>-40.9919</v>
      </c>
      <c r="L43" s="25" t="str">
        <f t="shared" si="2"/>
        <v>Leide</v>
      </c>
      <c r="M43" s="25" t="s">
        <v>371</v>
      </c>
      <c r="N43" s="25" t="s">
        <v>58</v>
      </c>
      <c r="O43" s="25" t="s">
        <v>68</v>
      </c>
      <c r="P43" s="25" t="s">
        <v>324</v>
      </c>
      <c r="Q43" s="25"/>
      <c r="R43" s="25" t="s">
        <v>47</v>
      </c>
      <c r="S43" s="25" t="s">
        <v>372</v>
      </c>
      <c r="T43" s="25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0">
        <f t="shared" si="3"/>
        <v>0</v>
      </c>
    </row>
    <row r="44">
      <c r="A44" s="36">
        <f t="shared" si="1"/>
        <v>41</v>
      </c>
      <c r="B44" s="37" t="s">
        <v>373</v>
      </c>
      <c r="C44" s="37" t="s">
        <v>374</v>
      </c>
      <c r="D44" s="37" t="s">
        <v>375</v>
      </c>
      <c r="E44" s="38" t="s">
        <v>376</v>
      </c>
      <c r="F44" s="39" t="s">
        <v>377</v>
      </c>
      <c r="G44" s="39" t="s">
        <v>378</v>
      </c>
      <c r="H44" s="40" t="s">
        <v>98</v>
      </c>
      <c r="I44" s="37" t="s">
        <v>379</v>
      </c>
      <c r="J44" s="41">
        <v>-3.7319</v>
      </c>
      <c r="K44" s="41">
        <v>-38.5267</v>
      </c>
      <c r="L44" s="37" t="str">
        <f t="shared" si="2"/>
        <v>Leide</v>
      </c>
      <c r="M44" s="37" t="s">
        <v>57</v>
      </c>
      <c r="N44" s="37" t="s">
        <v>58</v>
      </c>
      <c r="O44" s="37" t="s">
        <v>45</v>
      </c>
      <c r="P44" s="37" t="s">
        <v>324</v>
      </c>
      <c r="Q44" s="37"/>
      <c r="R44" s="37" t="s">
        <v>47</v>
      </c>
      <c r="S44" s="37" t="s">
        <v>356</v>
      </c>
      <c r="T44" s="37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2">
        <f t="shared" si="3"/>
        <v>0</v>
      </c>
    </row>
    <row r="45">
      <c r="A45" s="24">
        <f t="shared" si="1"/>
        <v>42</v>
      </c>
      <c r="B45" s="25" t="s">
        <v>380</v>
      </c>
      <c r="C45" s="25" t="s">
        <v>381</v>
      </c>
      <c r="D45" s="25" t="s">
        <v>382</v>
      </c>
      <c r="E45" s="26" t="s">
        <v>383</v>
      </c>
      <c r="F45" s="27" t="s">
        <v>377</v>
      </c>
      <c r="G45" s="27" t="s">
        <v>378</v>
      </c>
      <c r="H45" s="28" t="s">
        <v>98</v>
      </c>
      <c r="I45" s="25" t="s">
        <v>384</v>
      </c>
      <c r="J45" s="29">
        <v>-3.7319</v>
      </c>
      <c r="K45" s="29">
        <v>-38.5267</v>
      </c>
      <c r="L45" s="25" t="str">
        <f t="shared" si="2"/>
        <v>Leide</v>
      </c>
      <c r="M45" s="25" t="s">
        <v>57</v>
      </c>
      <c r="N45" s="25" t="s">
        <v>58</v>
      </c>
      <c r="O45" s="25" t="s">
        <v>45</v>
      </c>
      <c r="P45" s="25" t="s">
        <v>385</v>
      </c>
      <c r="Q45" s="25"/>
      <c r="R45" s="25" t="s">
        <v>47</v>
      </c>
      <c r="S45" s="25" t="s">
        <v>356</v>
      </c>
      <c r="T45" s="25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0">
        <f t="shared" si="3"/>
        <v>0</v>
      </c>
    </row>
    <row r="46">
      <c r="A46" s="36">
        <f t="shared" si="1"/>
        <v>43</v>
      </c>
      <c r="B46" s="37" t="s">
        <v>386</v>
      </c>
      <c r="C46" s="37" t="s">
        <v>387</v>
      </c>
      <c r="D46" s="37" t="s">
        <v>388</v>
      </c>
      <c r="E46" s="38" t="s">
        <v>389</v>
      </c>
      <c r="F46" s="39" t="s">
        <v>256</v>
      </c>
      <c r="G46" s="46" t="s">
        <v>390</v>
      </c>
      <c r="H46" s="40" t="s">
        <v>55</v>
      </c>
      <c r="I46" s="37" t="s">
        <v>391</v>
      </c>
      <c r="J46" s="41">
        <v>-8.0476</v>
      </c>
      <c r="K46" s="41">
        <v>-34.877</v>
      </c>
      <c r="L46" s="37" t="str">
        <f t="shared" si="2"/>
        <v>Leide</v>
      </c>
      <c r="M46" s="37" t="s">
        <v>111</v>
      </c>
      <c r="N46" s="34" t="s">
        <v>392</v>
      </c>
      <c r="O46" s="34" t="s">
        <v>68</v>
      </c>
      <c r="P46" s="37" t="s">
        <v>385</v>
      </c>
      <c r="Q46" s="37"/>
      <c r="R46" s="37" t="s">
        <v>47</v>
      </c>
      <c r="S46" s="37" t="s">
        <v>48</v>
      </c>
      <c r="T46" s="37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2">
        <f t="shared" si="3"/>
        <v>0</v>
      </c>
    </row>
    <row r="47">
      <c r="A47" s="24">
        <f t="shared" si="1"/>
        <v>44</v>
      </c>
      <c r="B47" s="25" t="s">
        <v>393</v>
      </c>
      <c r="C47" s="25" t="s">
        <v>394</v>
      </c>
      <c r="D47" s="25" t="s">
        <v>395</v>
      </c>
      <c r="E47" s="26" t="s">
        <v>396</v>
      </c>
      <c r="F47" s="27" t="s">
        <v>397</v>
      </c>
      <c r="G47" s="33" t="s">
        <v>398</v>
      </c>
      <c r="H47" s="28" t="s">
        <v>98</v>
      </c>
      <c r="I47" s="25" t="s">
        <v>399</v>
      </c>
      <c r="J47" s="29">
        <v>-7.2306</v>
      </c>
      <c r="K47" s="29">
        <v>-35.8811</v>
      </c>
      <c r="L47" s="25" t="str">
        <f t="shared" si="2"/>
        <v>Leide</v>
      </c>
      <c r="M47" s="25" t="s">
        <v>400</v>
      </c>
      <c r="N47" s="34" t="s">
        <v>392</v>
      </c>
      <c r="O47" s="25" t="s">
        <v>68</v>
      </c>
      <c r="P47" s="25" t="s">
        <v>385</v>
      </c>
      <c r="Q47" s="25"/>
      <c r="R47" s="25" t="s">
        <v>47</v>
      </c>
      <c r="S47" s="25" t="s">
        <v>103</v>
      </c>
      <c r="T47" s="25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0">
        <f t="shared" si="3"/>
        <v>0</v>
      </c>
    </row>
    <row r="48">
      <c r="A48" s="36">
        <f t="shared" si="1"/>
        <v>45</v>
      </c>
      <c r="B48" s="37" t="s">
        <v>401</v>
      </c>
      <c r="C48" s="37" t="s">
        <v>402</v>
      </c>
      <c r="D48" s="37" t="s">
        <v>403</v>
      </c>
      <c r="E48" s="38" t="s">
        <v>404</v>
      </c>
      <c r="F48" s="39" t="s">
        <v>322</v>
      </c>
      <c r="G48" s="46" t="s">
        <v>405</v>
      </c>
      <c r="H48" s="40" t="s">
        <v>98</v>
      </c>
      <c r="I48" s="37" t="s">
        <v>406</v>
      </c>
      <c r="J48" s="41">
        <v>-3.7319</v>
      </c>
      <c r="K48" s="41">
        <v>-38.5267</v>
      </c>
      <c r="L48" s="37" t="str">
        <f t="shared" si="2"/>
        <v>Leide</v>
      </c>
      <c r="M48" s="37" t="s">
        <v>57</v>
      </c>
      <c r="N48" s="37" t="s">
        <v>58</v>
      </c>
      <c r="O48" s="37" t="s">
        <v>45</v>
      </c>
      <c r="P48" s="37" t="s">
        <v>385</v>
      </c>
      <c r="Q48" s="37"/>
      <c r="R48" s="37" t="s">
        <v>47</v>
      </c>
      <c r="S48" s="37" t="s">
        <v>122</v>
      </c>
      <c r="T48" s="37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2">
        <f t="shared" si="3"/>
        <v>0</v>
      </c>
    </row>
    <row r="49">
      <c r="A49" s="24">
        <f t="shared" si="1"/>
        <v>46</v>
      </c>
      <c r="B49" s="25" t="s">
        <v>407</v>
      </c>
      <c r="C49" s="25" t="s">
        <v>408</v>
      </c>
      <c r="D49" s="25" t="s">
        <v>409</v>
      </c>
      <c r="E49" s="26" t="s">
        <v>410</v>
      </c>
      <c r="F49" s="27" t="s">
        <v>411</v>
      </c>
      <c r="G49" s="27" t="s">
        <v>412</v>
      </c>
      <c r="H49" s="28" t="s">
        <v>413</v>
      </c>
      <c r="I49" s="25" t="s">
        <v>414</v>
      </c>
      <c r="J49" s="29">
        <v>-3.7319</v>
      </c>
      <c r="K49" s="29">
        <v>-38.5267</v>
      </c>
      <c r="L49" s="25" t="str">
        <f t="shared" si="2"/>
        <v>Leide</v>
      </c>
      <c r="M49" s="25" t="s">
        <v>57</v>
      </c>
      <c r="N49" s="25" t="s">
        <v>58</v>
      </c>
      <c r="O49" s="35" t="s">
        <v>251</v>
      </c>
      <c r="P49" s="25" t="s">
        <v>385</v>
      </c>
      <c r="Q49" s="25"/>
      <c r="R49" s="25" t="s">
        <v>47</v>
      </c>
      <c r="S49" s="25" t="s">
        <v>415</v>
      </c>
      <c r="T49" s="25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0">
        <f t="shared" si="3"/>
        <v>0</v>
      </c>
    </row>
    <row r="50">
      <c r="A50" s="36">
        <f t="shared" si="1"/>
        <v>47</v>
      </c>
      <c r="B50" s="37" t="s">
        <v>416</v>
      </c>
      <c r="C50" s="37" t="s">
        <v>417</v>
      </c>
      <c r="D50" s="37" t="s">
        <v>418</v>
      </c>
      <c r="E50" s="38" t="s">
        <v>419</v>
      </c>
      <c r="F50" s="39" t="s">
        <v>420</v>
      </c>
      <c r="G50" s="46" t="s">
        <v>421</v>
      </c>
      <c r="H50" s="40" t="s">
        <v>422</v>
      </c>
      <c r="I50" s="37" t="s">
        <v>423</v>
      </c>
      <c r="J50" s="41">
        <v>-5.7945</v>
      </c>
      <c r="K50" s="41">
        <v>-35.211</v>
      </c>
      <c r="L50" s="37" t="str">
        <f t="shared" si="2"/>
        <v>Leide</v>
      </c>
      <c r="M50" s="37" t="s">
        <v>250</v>
      </c>
      <c r="N50" s="37" t="s">
        <v>91</v>
      </c>
      <c r="O50" s="34" t="s">
        <v>68</v>
      </c>
      <c r="P50" s="37" t="s">
        <v>385</v>
      </c>
      <c r="Q50" s="37"/>
      <c r="R50" s="37" t="s">
        <v>47</v>
      </c>
      <c r="S50" s="37" t="s">
        <v>48</v>
      </c>
      <c r="T50" s="37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2">
        <f t="shared" si="3"/>
        <v>0</v>
      </c>
    </row>
    <row r="51">
      <c r="A51" s="24">
        <f t="shared" si="1"/>
        <v>48</v>
      </c>
      <c r="B51" s="25" t="s">
        <v>424</v>
      </c>
      <c r="C51" s="25" t="s">
        <v>425</v>
      </c>
      <c r="D51" s="25" t="s">
        <v>426</v>
      </c>
      <c r="E51" s="47" t="s">
        <v>427</v>
      </c>
      <c r="F51" s="27" t="s">
        <v>428</v>
      </c>
      <c r="G51" s="33" t="s">
        <v>429</v>
      </c>
      <c r="H51" s="28" t="s">
        <v>55</v>
      </c>
      <c r="I51" s="25" t="s">
        <v>430</v>
      </c>
      <c r="J51" s="29">
        <v>-22.9068</v>
      </c>
      <c r="K51" s="29">
        <v>-43.1729</v>
      </c>
      <c r="L51" s="25" t="str">
        <f t="shared" si="2"/>
        <v>Leide</v>
      </c>
      <c r="M51" s="25" t="s">
        <v>431</v>
      </c>
      <c r="N51" s="35" t="s">
        <v>432</v>
      </c>
      <c r="O51" s="45" t="s">
        <v>433</v>
      </c>
      <c r="P51" s="25" t="s">
        <v>385</v>
      </c>
      <c r="Q51" s="25"/>
      <c r="R51" s="25" t="s">
        <v>47</v>
      </c>
      <c r="S51" s="25" t="s">
        <v>48</v>
      </c>
      <c r="T51" s="25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0">
        <f t="shared" si="3"/>
        <v>0</v>
      </c>
    </row>
    <row r="52">
      <c r="A52" s="36">
        <f t="shared" si="1"/>
        <v>49</v>
      </c>
      <c r="B52" s="37" t="s">
        <v>434</v>
      </c>
      <c r="C52" s="37" t="s">
        <v>435</v>
      </c>
      <c r="D52" s="37" t="s">
        <v>436</v>
      </c>
      <c r="E52" s="48" t="s">
        <v>437</v>
      </c>
      <c r="F52" s="46" t="s">
        <v>438</v>
      </c>
      <c r="G52" s="46" t="s">
        <v>439</v>
      </c>
      <c r="H52" s="49" t="s">
        <v>148</v>
      </c>
      <c r="I52" s="50" t="s">
        <v>440</v>
      </c>
      <c r="J52" s="46" t="s">
        <v>441</v>
      </c>
      <c r="K52" s="46" t="s">
        <v>442</v>
      </c>
      <c r="L52" s="37" t="str">
        <f t="shared" si="2"/>
        <v>Leide</v>
      </c>
      <c r="M52" s="37"/>
      <c r="N52" s="50" t="s">
        <v>199</v>
      </c>
      <c r="O52" s="50" t="s">
        <v>68</v>
      </c>
      <c r="P52" s="37" t="s">
        <v>385</v>
      </c>
      <c r="Q52" s="37"/>
      <c r="R52" s="37" t="s">
        <v>47</v>
      </c>
      <c r="S52" s="37" t="s">
        <v>152</v>
      </c>
      <c r="T52" s="37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2">
        <f t="shared" si="3"/>
        <v>0</v>
      </c>
    </row>
    <row r="53">
      <c r="A53" s="24">
        <f t="shared" si="1"/>
        <v>50</v>
      </c>
      <c r="B53" s="25" t="s">
        <v>443</v>
      </c>
      <c r="C53" s="25" t="s">
        <v>444</v>
      </c>
      <c r="D53" s="25" t="s">
        <v>445</v>
      </c>
      <c r="E53" s="26" t="s">
        <v>446</v>
      </c>
      <c r="F53" s="27" t="s">
        <v>447</v>
      </c>
      <c r="G53" s="33" t="s">
        <v>448</v>
      </c>
      <c r="H53" s="28" t="s">
        <v>55</v>
      </c>
      <c r="I53" s="25" t="s">
        <v>449</v>
      </c>
      <c r="J53" s="29">
        <v>-11.8104</v>
      </c>
      <c r="K53" s="29">
        <v>-39.0833</v>
      </c>
      <c r="L53" s="25" t="str">
        <f t="shared" si="2"/>
        <v>Leide</v>
      </c>
      <c r="M53" s="25" t="s">
        <v>450</v>
      </c>
      <c r="N53" s="35" t="s">
        <v>451</v>
      </c>
      <c r="O53" s="25" t="s">
        <v>68</v>
      </c>
      <c r="P53" s="25" t="s">
        <v>385</v>
      </c>
      <c r="Q53" s="25"/>
      <c r="R53" s="25" t="s">
        <v>47</v>
      </c>
      <c r="S53" s="25" t="s">
        <v>48</v>
      </c>
      <c r="T53" s="25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30">
        <f t="shared" si="3"/>
        <v>0</v>
      </c>
    </row>
    <row r="54">
      <c r="A54" s="36">
        <f t="shared" si="1"/>
        <v>51</v>
      </c>
      <c r="B54" s="37" t="s">
        <v>452</v>
      </c>
      <c r="C54" s="37" t="s">
        <v>453</v>
      </c>
      <c r="D54" s="37" t="s">
        <v>454</v>
      </c>
      <c r="E54" s="38" t="s">
        <v>455</v>
      </c>
      <c r="F54" s="39" t="s">
        <v>456</v>
      </c>
      <c r="G54" s="46" t="s">
        <v>457</v>
      </c>
      <c r="H54" s="40" t="s">
        <v>458</v>
      </c>
      <c r="I54" s="37" t="s">
        <v>459</v>
      </c>
      <c r="J54" s="41">
        <v>-9.6498</v>
      </c>
      <c r="K54" s="41">
        <v>-35.7089</v>
      </c>
      <c r="L54" s="37" t="str">
        <f t="shared" si="2"/>
        <v>Leide</v>
      </c>
      <c r="M54" s="37" t="s">
        <v>120</v>
      </c>
      <c r="N54" s="35" t="s">
        <v>451</v>
      </c>
      <c r="O54" s="34" t="s">
        <v>68</v>
      </c>
      <c r="P54" s="37" t="s">
        <v>385</v>
      </c>
      <c r="Q54" s="37"/>
      <c r="R54" s="37" t="s">
        <v>47</v>
      </c>
      <c r="S54" s="50" t="s">
        <v>48</v>
      </c>
      <c r="T54" s="37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2">
        <f t="shared" si="3"/>
        <v>0</v>
      </c>
    </row>
    <row r="55">
      <c r="A55" s="24">
        <f t="shared" si="1"/>
        <v>52</v>
      </c>
      <c r="B55" s="25" t="s">
        <v>460</v>
      </c>
      <c r="C55" s="25" t="s">
        <v>461</v>
      </c>
      <c r="D55" s="25" t="s">
        <v>462</v>
      </c>
      <c r="E55" s="26" t="s">
        <v>460</v>
      </c>
      <c r="F55" s="27" t="s">
        <v>463</v>
      </c>
      <c r="G55" s="27" t="s">
        <v>464</v>
      </c>
      <c r="H55" s="28" t="s">
        <v>55</v>
      </c>
      <c r="I55" s="25" t="s">
        <v>465</v>
      </c>
      <c r="J55" s="29">
        <v>-6.7811</v>
      </c>
      <c r="K55" s="29">
        <v>-35.5128</v>
      </c>
      <c r="L55" s="25" t="str">
        <f t="shared" si="2"/>
        <v>Leide</v>
      </c>
      <c r="M55" s="25" t="s">
        <v>466</v>
      </c>
      <c r="N55" s="35" t="s">
        <v>467</v>
      </c>
      <c r="O55" s="35" t="s">
        <v>68</v>
      </c>
      <c r="P55" s="25" t="s">
        <v>385</v>
      </c>
      <c r="Q55" s="25"/>
      <c r="R55" s="25" t="s">
        <v>47</v>
      </c>
      <c r="S55" s="25" t="s">
        <v>48</v>
      </c>
      <c r="T55" s="25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30">
        <f t="shared" si="3"/>
        <v>0</v>
      </c>
    </row>
    <row r="56">
      <c r="A56" s="51"/>
      <c r="B56" s="52"/>
      <c r="C56" s="52"/>
      <c r="D56" s="52"/>
      <c r="E56" s="52"/>
      <c r="F56" s="53"/>
      <c r="G56" s="53"/>
      <c r="H56" s="54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</row>
    <row r="57">
      <c r="A57" s="51"/>
      <c r="B57" s="52"/>
      <c r="C57" s="52"/>
      <c r="D57" s="52"/>
      <c r="E57" s="52"/>
      <c r="F57" s="53"/>
      <c r="G57" s="53"/>
      <c r="H57" s="54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>
      <c r="A58" s="51"/>
      <c r="B58" s="52"/>
      <c r="C58" s="52"/>
      <c r="D58" s="52"/>
      <c r="E58" s="52"/>
      <c r="F58" s="53"/>
      <c r="G58" s="53"/>
      <c r="H58" s="54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>
      <c r="A59" s="51"/>
      <c r="B59" s="52"/>
      <c r="C59" s="52"/>
      <c r="D59" s="52"/>
      <c r="E59" s="52"/>
      <c r="F59" s="53"/>
      <c r="G59" s="53"/>
      <c r="H59" s="54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>
      <c r="A60" s="51"/>
      <c r="B60" s="52"/>
      <c r="C60" s="52"/>
      <c r="D60" s="52"/>
      <c r="E60" s="52"/>
      <c r="F60" s="53"/>
      <c r="G60" s="53"/>
      <c r="H60" s="54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</row>
    <row r="61">
      <c r="A61" s="51"/>
      <c r="B61" s="52"/>
      <c r="C61" s="52"/>
      <c r="D61" s="52"/>
      <c r="E61" s="52"/>
      <c r="F61" s="53"/>
      <c r="G61" s="53"/>
      <c r="H61" s="54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</row>
    <row r="62">
      <c r="A62" s="51"/>
      <c r="B62" s="52"/>
      <c r="C62" s="52"/>
      <c r="D62" s="52"/>
      <c r="E62" s="52"/>
      <c r="F62" s="53"/>
      <c r="G62" s="53"/>
      <c r="H62" s="54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>
      <c r="A63" s="51"/>
      <c r="B63" s="52"/>
      <c r="C63" s="52"/>
      <c r="D63" s="52"/>
      <c r="E63" s="52"/>
      <c r="F63" s="53"/>
      <c r="G63" s="53"/>
      <c r="H63" s="54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</row>
    <row r="64">
      <c r="A64" s="51"/>
      <c r="B64" s="52"/>
      <c r="C64" s="52"/>
      <c r="D64" s="52"/>
      <c r="E64" s="52"/>
      <c r="F64" s="53"/>
      <c r="G64" s="53"/>
      <c r="H64" s="54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</row>
    <row r="65">
      <c r="A65" s="51"/>
      <c r="B65" s="52"/>
      <c r="C65" s="52"/>
      <c r="D65" s="52"/>
      <c r="E65" s="52"/>
      <c r="F65" s="53"/>
      <c r="G65" s="53"/>
      <c r="H65" s="54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>
      <c r="A66" s="51"/>
      <c r="B66" s="52"/>
      <c r="C66" s="52"/>
      <c r="D66" s="52"/>
      <c r="E66" s="52"/>
      <c r="F66" s="53"/>
      <c r="G66" s="53"/>
      <c r="H66" s="54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>
      <c r="A67" s="51"/>
      <c r="B67" s="52"/>
      <c r="C67" s="52"/>
      <c r="D67" s="52"/>
      <c r="E67" s="52"/>
      <c r="F67" s="53"/>
      <c r="G67" s="53"/>
      <c r="H67" s="54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>
      <c r="A68" s="51"/>
      <c r="B68" s="52"/>
      <c r="C68" s="52"/>
      <c r="D68" s="52"/>
      <c r="E68" s="52"/>
      <c r="F68" s="53"/>
      <c r="G68" s="53"/>
      <c r="H68" s="54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>
      <c r="A69" s="51"/>
      <c r="B69" s="52"/>
      <c r="C69" s="52"/>
      <c r="D69" s="52"/>
      <c r="E69" s="52"/>
      <c r="F69" s="53"/>
      <c r="G69" s="53"/>
      <c r="H69" s="54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>
      <c r="A70" s="51"/>
      <c r="B70" s="52"/>
      <c r="C70" s="52"/>
      <c r="D70" s="52"/>
      <c r="E70" s="52"/>
      <c r="F70" s="53"/>
      <c r="G70" s="53"/>
      <c r="H70" s="54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>
      <c r="A71" s="51"/>
      <c r="B71" s="52"/>
      <c r="C71" s="52"/>
      <c r="D71" s="52"/>
      <c r="E71" s="52"/>
      <c r="F71" s="53"/>
      <c r="G71" s="53"/>
      <c r="H71" s="54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2">
      <c r="A72" s="51"/>
      <c r="B72" s="52"/>
      <c r="C72" s="52"/>
      <c r="D72" s="52"/>
      <c r="E72" s="52"/>
      <c r="F72" s="53"/>
      <c r="G72" s="53"/>
      <c r="H72" s="54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</row>
    <row r="73">
      <c r="A73" s="51"/>
      <c r="B73" s="52"/>
      <c r="C73" s="52"/>
      <c r="D73" s="52"/>
      <c r="E73" s="52"/>
      <c r="F73" s="53"/>
      <c r="G73" s="53"/>
      <c r="H73" s="54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</row>
    <row r="74">
      <c r="A74" s="51"/>
      <c r="B74" s="52"/>
      <c r="C74" s="52"/>
      <c r="D74" s="52"/>
      <c r="E74" s="52"/>
      <c r="F74" s="53"/>
      <c r="G74" s="53"/>
      <c r="H74" s="54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>
      <c r="A75" s="51"/>
      <c r="B75" s="52"/>
      <c r="C75" s="52"/>
      <c r="D75" s="52"/>
      <c r="E75" s="52"/>
      <c r="F75" s="53"/>
      <c r="G75" s="53"/>
      <c r="H75" s="54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</row>
    <row r="76">
      <c r="A76" s="51"/>
      <c r="B76" s="52"/>
      <c r="C76" s="52"/>
      <c r="D76" s="52"/>
      <c r="E76" s="52"/>
      <c r="F76" s="53"/>
      <c r="G76" s="53"/>
      <c r="H76" s="54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>
      <c r="A77" s="51"/>
      <c r="B77" s="52"/>
      <c r="C77" s="52"/>
      <c r="D77" s="52"/>
      <c r="E77" s="52"/>
      <c r="F77" s="53"/>
      <c r="G77" s="53"/>
      <c r="H77" s="54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</row>
    <row r="78">
      <c r="A78" s="51"/>
      <c r="B78" s="52"/>
      <c r="C78" s="52"/>
      <c r="D78" s="52"/>
      <c r="E78" s="52"/>
      <c r="F78" s="53"/>
      <c r="G78" s="53"/>
      <c r="H78" s="54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>
      <c r="A79" s="51"/>
      <c r="B79" s="52"/>
      <c r="C79" s="52"/>
      <c r="D79" s="52"/>
      <c r="E79" s="52"/>
      <c r="F79" s="53"/>
      <c r="G79" s="53"/>
      <c r="H79" s="54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</row>
    <row r="80">
      <c r="A80" s="51"/>
      <c r="B80" s="52"/>
      <c r="C80" s="52"/>
      <c r="D80" s="52"/>
      <c r="E80" s="52"/>
      <c r="F80" s="53"/>
      <c r="G80" s="53"/>
      <c r="H80" s="54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</row>
    <row r="81">
      <c r="A81" s="51"/>
      <c r="B81" s="52"/>
      <c r="C81" s="52"/>
      <c r="D81" s="52"/>
      <c r="E81" s="52"/>
      <c r="F81" s="53"/>
      <c r="G81" s="53"/>
      <c r="H81" s="54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>
      <c r="A82" s="51"/>
      <c r="B82" s="52"/>
      <c r="C82" s="52"/>
      <c r="D82" s="52"/>
      <c r="E82" s="52"/>
      <c r="F82" s="53"/>
      <c r="G82" s="53"/>
      <c r="H82" s="54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>
      <c r="A83" s="51"/>
      <c r="B83" s="52"/>
      <c r="C83" s="52"/>
      <c r="D83" s="52"/>
      <c r="E83" s="52"/>
      <c r="F83" s="53"/>
      <c r="G83" s="53"/>
      <c r="H83" s="54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>
      <c r="A84" s="51"/>
      <c r="B84" s="52"/>
      <c r="C84" s="52"/>
      <c r="D84" s="52"/>
      <c r="E84" s="52"/>
      <c r="F84" s="53"/>
      <c r="G84" s="53"/>
      <c r="H84" s="54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</row>
    <row r="85">
      <c r="A85" s="51"/>
      <c r="B85" s="52"/>
      <c r="C85" s="52"/>
      <c r="D85" s="52"/>
      <c r="E85" s="52"/>
      <c r="F85" s="53"/>
      <c r="G85" s="53"/>
      <c r="H85" s="54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</row>
    <row r="86">
      <c r="A86" s="51"/>
      <c r="B86" s="52"/>
      <c r="C86" s="52"/>
      <c r="D86" s="52"/>
      <c r="E86" s="52"/>
      <c r="F86" s="53"/>
      <c r="G86" s="53"/>
      <c r="H86" s="54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</row>
    <row r="87">
      <c r="A87" s="51"/>
      <c r="B87" s="52"/>
      <c r="C87" s="52"/>
      <c r="D87" s="52"/>
      <c r="E87" s="52"/>
      <c r="F87" s="53"/>
      <c r="G87" s="53"/>
      <c r="H87" s="54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</row>
    <row r="88">
      <c r="A88" s="51"/>
      <c r="B88" s="52"/>
      <c r="C88" s="52"/>
      <c r="D88" s="52"/>
      <c r="E88" s="52"/>
      <c r="F88" s="53"/>
      <c r="G88" s="53"/>
      <c r="H88" s="54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</row>
    <row r="89">
      <c r="A89" s="51"/>
      <c r="B89" s="52"/>
      <c r="C89" s="52"/>
      <c r="D89" s="52"/>
      <c r="E89" s="52"/>
      <c r="F89" s="53"/>
      <c r="G89" s="53"/>
      <c r="H89" s="54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</row>
    <row r="90">
      <c r="A90" s="51"/>
      <c r="B90" s="52"/>
      <c r="C90" s="52"/>
      <c r="D90" s="52"/>
      <c r="E90" s="52"/>
      <c r="F90" s="53"/>
      <c r="G90" s="53"/>
      <c r="H90" s="54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</row>
    <row r="91">
      <c r="A91" s="51"/>
      <c r="B91" s="52"/>
      <c r="C91" s="52"/>
      <c r="D91" s="52"/>
      <c r="E91" s="52"/>
      <c r="F91" s="53"/>
      <c r="G91" s="53"/>
      <c r="H91" s="54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</row>
    <row r="92">
      <c r="A92" s="51"/>
      <c r="B92" s="52"/>
      <c r="C92" s="52"/>
      <c r="D92" s="52"/>
      <c r="E92" s="52"/>
      <c r="F92" s="53"/>
      <c r="G92" s="53"/>
      <c r="H92" s="54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</row>
    <row r="93">
      <c r="A93" s="51"/>
      <c r="B93" s="52"/>
      <c r="C93" s="52"/>
      <c r="D93" s="52"/>
      <c r="E93" s="52"/>
      <c r="F93" s="53"/>
      <c r="G93" s="53"/>
      <c r="H93" s="54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</row>
    <row r="94">
      <c r="A94" s="51"/>
      <c r="B94" s="52"/>
      <c r="C94" s="52"/>
      <c r="D94" s="52"/>
      <c r="E94" s="52"/>
      <c r="F94" s="53"/>
      <c r="G94" s="53"/>
      <c r="H94" s="54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</row>
    <row r="95">
      <c r="A95" s="51"/>
      <c r="B95" s="52"/>
      <c r="C95" s="52"/>
      <c r="D95" s="52"/>
      <c r="E95" s="52"/>
      <c r="F95" s="53"/>
      <c r="G95" s="53"/>
      <c r="H95" s="54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</row>
    <row r="96">
      <c r="A96" s="51"/>
      <c r="B96" s="52"/>
      <c r="C96" s="52"/>
      <c r="D96" s="52"/>
      <c r="E96" s="52"/>
      <c r="F96" s="53"/>
      <c r="G96" s="53"/>
      <c r="H96" s="54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</row>
    <row r="97">
      <c r="A97" s="51"/>
      <c r="B97" s="52"/>
      <c r="C97" s="52"/>
      <c r="D97" s="52"/>
      <c r="E97" s="52"/>
      <c r="F97" s="53"/>
      <c r="G97" s="53"/>
      <c r="H97" s="54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</row>
    <row r="98">
      <c r="A98" s="51"/>
      <c r="B98" s="52"/>
      <c r="C98" s="52"/>
      <c r="D98" s="52"/>
      <c r="E98" s="52"/>
      <c r="F98" s="53"/>
      <c r="G98" s="53"/>
      <c r="H98" s="54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</row>
    <row r="99">
      <c r="A99" s="51"/>
      <c r="B99" s="52"/>
      <c r="C99" s="52"/>
      <c r="D99" s="52"/>
      <c r="E99" s="52"/>
      <c r="F99" s="53"/>
      <c r="G99" s="53"/>
      <c r="H99" s="54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</row>
    <row r="100">
      <c r="A100" s="51"/>
      <c r="B100" s="52"/>
      <c r="C100" s="52"/>
      <c r="D100" s="52"/>
      <c r="E100" s="52"/>
      <c r="F100" s="53"/>
      <c r="G100" s="53"/>
      <c r="H100" s="54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</row>
    <row r="101">
      <c r="A101" s="51"/>
      <c r="B101" s="52"/>
      <c r="C101" s="52"/>
      <c r="D101" s="52"/>
      <c r="E101" s="52"/>
      <c r="F101" s="53"/>
      <c r="G101" s="53"/>
      <c r="H101" s="54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</row>
    <row r="102">
      <c r="A102" s="51"/>
      <c r="B102" s="52"/>
      <c r="C102" s="52"/>
      <c r="D102" s="52"/>
      <c r="E102" s="52"/>
      <c r="F102" s="53"/>
      <c r="G102" s="53"/>
      <c r="H102" s="54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</row>
    <row r="103">
      <c r="A103" s="51"/>
      <c r="B103" s="52"/>
      <c r="C103" s="52"/>
      <c r="D103" s="52"/>
      <c r="E103" s="52"/>
      <c r="F103" s="53"/>
      <c r="G103" s="53"/>
      <c r="H103" s="54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</row>
    <row r="104">
      <c r="A104" s="51"/>
      <c r="B104" s="52"/>
      <c r="C104" s="52"/>
      <c r="D104" s="52"/>
      <c r="E104" s="52"/>
      <c r="F104" s="53"/>
      <c r="G104" s="53"/>
      <c r="H104" s="54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</row>
    <row r="105">
      <c r="A105" s="51"/>
      <c r="B105" s="52"/>
      <c r="C105" s="52"/>
      <c r="D105" s="52"/>
      <c r="E105" s="52"/>
      <c r="F105" s="53"/>
      <c r="G105" s="53"/>
      <c r="H105" s="54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</row>
    <row r="106">
      <c r="A106" s="51"/>
      <c r="B106" s="52"/>
      <c r="C106" s="52"/>
      <c r="D106" s="52"/>
      <c r="E106" s="52"/>
      <c r="F106" s="53"/>
      <c r="G106" s="53"/>
      <c r="H106" s="54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</row>
    <row r="107">
      <c r="A107" s="51"/>
      <c r="B107" s="52"/>
      <c r="C107" s="52"/>
      <c r="D107" s="52"/>
      <c r="E107" s="52"/>
      <c r="F107" s="53"/>
      <c r="G107" s="53"/>
      <c r="H107" s="54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</row>
    <row r="108">
      <c r="A108" s="51"/>
      <c r="B108" s="52"/>
      <c r="C108" s="52"/>
      <c r="D108" s="52"/>
      <c r="E108" s="52"/>
      <c r="F108" s="53"/>
      <c r="G108" s="53"/>
      <c r="H108" s="54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</row>
    <row r="109">
      <c r="A109" s="51"/>
      <c r="B109" s="52"/>
      <c r="C109" s="52"/>
      <c r="D109" s="52"/>
      <c r="E109" s="52"/>
      <c r="F109" s="53"/>
      <c r="G109" s="53"/>
      <c r="H109" s="54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>
      <c r="A110" s="51"/>
      <c r="B110" s="52"/>
      <c r="C110" s="52"/>
      <c r="D110" s="52"/>
      <c r="E110" s="52"/>
      <c r="F110" s="53"/>
      <c r="G110" s="53"/>
      <c r="H110" s="54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</row>
    <row r="111">
      <c r="A111" s="51"/>
      <c r="B111" s="52"/>
      <c r="C111" s="52"/>
      <c r="D111" s="52"/>
      <c r="E111" s="52"/>
      <c r="F111" s="53"/>
      <c r="G111" s="53"/>
      <c r="H111" s="54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</row>
    <row r="112">
      <c r="A112" s="51"/>
      <c r="B112" s="52"/>
      <c r="C112" s="52"/>
      <c r="D112" s="52"/>
      <c r="E112" s="52"/>
      <c r="F112" s="53"/>
      <c r="G112" s="53"/>
      <c r="H112" s="54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</row>
    <row r="113">
      <c r="A113" s="51"/>
      <c r="B113" s="52"/>
      <c r="C113" s="52"/>
      <c r="D113" s="52"/>
      <c r="E113" s="52"/>
      <c r="F113" s="53"/>
      <c r="G113" s="53"/>
      <c r="H113" s="54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</row>
    <row r="114">
      <c r="A114" s="51"/>
      <c r="B114" s="52"/>
      <c r="C114" s="52"/>
      <c r="D114" s="52"/>
      <c r="E114" s="52"/>
      <c r="F114" s="53"/>
      <c r="G114" s="53"/>
      <c r="H114" s="54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</row>
    <row r="115">
      <c r="A115" s="51"/>
      <c r="B115" s="52"/>
      <c r="C115" s="52"/>
      <c r="D115" s="52"/>
      <c r="E115" s="52"/>
      <c r="F115" s="53"/>
      <c r="G115" s="53"/>
      <c r="H115" s="54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</row>
    <row r="116">
      <c r="A116" s="51"/>
      <c r="B116" s="52"/>
      <c r="C116" s="52"/>
      <c r="D116" s="52"/>
      <c r="E116" s="52"/>
      <c r="F116" s="53"/>
      <c r="G116" s="53"/>
      <c r="H116" s="54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</row>
    <row r="117">
      <c r="A117" s="51"/>
      <c r="B117" s="52"/>
      <c r="C117" s="52"/>
      <c r="D117" s="52"/>
      <c r="E117" s="52"/>
      <c r="F117" s="53"/>
      <c r="G117" s="53"/>
      <c r="H117" s="54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</row>
    <row r="118">
      <c r="A118" s="51"/>
      <c r="B118" s="52"/>
      <c r="C118" s="52"/>
      <c r="D118" s="52"/>
      <c r="E118" s="52"/>
      <c r="F118" s="53"/>
      <c r="G118" s="53"/>
      <c r="H118" s="54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</row>
    <row r="119">
      <c r="A119" s="51"/>
      <c r="B119" s="52"/>
      <c r="C119" s="52"/>
      <c r="D119" s="52"/>
      <c r="E119" s="52"/>
      <c r="F119" s="53"/>
      <c r="G119" s="53"/>
      <c r="H119" s="54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</row>
    <row r="120">
      <c r="A120" s="51"/>
      <c r="B120" s="52"/>
      <c r="C120" s="52"/>
      <c r="D120" s="52"/>
      <c r="E120" s="52"/>
      <c r="F120" s="53"/>
      <c r="G120" s="53"/>
      <c r="H120" s="54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</row>
    <row r="121">
      <c r="A121" s="51"/>
      <c r="B121" s="52"/>
      <c r="C121" s="52"/>
      <c r="D121" s="52"/>
      <c r="E121" s="52"/>
      <c r="F121" s="53"/>
      <c r="G121" s="53"/>
      <c r="H121" s="54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</row>
    <row r="122">
      <c r="A122" s="51"/>
      <c r="B122" s="52"/>
      <c r="C122" s="52"/>
      <c r="D122" s="52"/>
      <c r="E122" s="52"/>
      <c r="F122" s="53"/>
      <c r="G122" s="53"/>
      <c r="H122" s="54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</row>
    <row r="123">
      <c r="A123" s="51"/>
      <c r="B123" s="52"/>
      <c r="C123" s="52"/>
      <c r="D123" s="52"/>
      <c r="E123" s="52"/>
      <c r="F123" s="53"/>
      <c r="G123" s="53"/>
      <c r="H123" s="54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</row>
    <row r="124">
      <c r="A124" s="51"/>
      <c r="B124" s="52"/>
      <c r="C124" s="52"/>
      <c r="D124" s="52"/>
      <c r="E124" s="52"/>
      <c r="F124" s="53"/>
      <c r="G124" s="53"/>
      <c r="H124" s="54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</row>
    <row r="125">
      <c r="A125" s="51"/>
      <c r="B125" s="52"/>
      <c r="C125" s="52"/>
      <c r="D125" s="52"/>
      <c r="E125" s="52"/>
      <c r="F125" s="53"/>
      <c r="G125" s="53"/>
      <c r="H125" s="54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</row>
    <row r="126">
      <c r="A126" s="51"/>
      <c r="B126" s="52"/>
      <c r="C126" s="52"/>
      <c r="D126" s="52"/>
      <c r="E126" s="52"/>
      <c r="F126" s="53"/>
      <c r="G126" s="53"/>
      <c r="H126" s="54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</row>
    <row r="127">
      <c r="A127" s="51"/>
      <c r="B127" s="52"/>
      <c r="C127" s="52"/>
      <c r="D127" s="52"/>
      <c r="E127" s="52"/>
      <c r="F127" s="53"/>
      <c r="G127" s="53"/>
      <c r="H127" s="54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</row>
    <row r="128">
      <c r="A128" s="51"/>
      <c r="B128" s="52"/>
      <c r="C128" s="52"/>
      <c r="D128" s="52"/>
      <c r="E128" s="52"/>
      <c r="F128" s="53"/>
      <c r="G128" s="53"/>
      <c r="H128" s="54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</row>
    <row r="129">
      <c r="A129" s="51"/>
      <c r="B129" s="52"/>
      <c r="C129" s="52"/>
      <c r="D129" s="52"/>
      <c r="E129" s="52"/>
      <c r="F129" s="53"/>
      <c r="G129" s="53"/>
      <c r="H129" s="54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</row>
    <row r="130">
      <c r="A130" s="51"/>
      <c r="B130" s="52"/>
      <c r="C130" s="52"/>
      <c r="D130" s="52"/>
      <c r="E130" s="52"/>
      <c r="F130" s="53"/>
      <c r="G130" s="53"/>
      <c r="H130" s="54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</row>
    <row r="131">
      <c r="A131" s="51"/>
      <c r="B131" s="52"/>
      <c r="C131" s="52"/>
      <c r="D131" s="52"/>
      <c r="E131" s="52"/>
      <c r="F131" s="53"/>
      <c r="G131" s="53"/>
      <c r="H131" s="54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</row>
    <row r="132">
      <c r="A132" s="51"/>
      <c r="B132" s="52"/>
      <c r="C132" s="52"/>
      <c r="D132" s="52"/>
      <c r="E132" s="52"/>
      <c r="F132" s="53"/>
      <c r="G132" s="53"/>
      <c r="H132" s="54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</row>
    <row r="133">
      <c r="A133" s="51"/>
      <c r="B133" s="52"/>
      <c r="C133" s="52"/>
      <c r="D133" s="52"/>
      <c r="E133" s="52"/>
      <c r="F133" s="53"/>
      <c r="G133" s="53"/>
      <c r="H133" s="54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</row>
    <row r="134">
      <c r="A134" s="51"/>
      <c r="B134" s="52"/>
      <c r="C134" s="52"/>
      <c r="D134" s="52"/>
      <c r="E134" s="52"/>
      <c r="F134" s="53"/>
      <c r="G134" s="53"/>
      <c r="H134" s="54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</row>
    <row r="135">
      <c r="A135" s="51"/>
      <c r="B135" s="52"/>
      <c r="C135" s="52"/>
      <c r="D135" s="52"/>
      <c r="E135" s="52"/>
      <c r="F135" s="53"/>
      <c r="G135" s="53"/>
      <c r="H135" s="54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</row>
    <row r="136">
      <c r="A136" s="51"/>
      <c r="B136" s="52"/>
      <c r="C136" s="52"/>
      <c r="D136" s="52"/>
      <c r="E136" s="52"/>
      <c r="F136" s="53"/>
      <c r="G136" s="53"/>
      <c r="H136" s="54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</row>
    <row r="137">
      <c r="A137" s="51"/>
      <c r="B137" s="52"/>
      <c r="C137" s="52"/>
      <c r="D137" s="52"/>
      <c r="E137" s="52"/>
      <c r="F137" s="53"/>
      <c r="G137" s="53"/>
      <c r="H137" s="54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</row>
    <row r="138">
      <c r="A138" s="51"/>
      <c r="B138" s="52"/>
      <c r="C138" s="52"/>
      <c r="D138" s="52"/>
      <c r="E138" s="52"/>
      <c r="F138" s="53"/>
      <c r="G138" s="53"/>
      <c r="H138" s="54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</row>
    <row r="139">
      <c r="A139" s="51"/>
      <c r="B139" s="52"/>
      <c r="C139" s="52"/>
      <c r="D139" s="52"/>
      <c r="E139" s="52"/>
      <c r="F139" s="53"/>
      <c r="G139" s="53"/>
      <c r="H139" s="54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</row>
    <row r="140">
      <c r="A140" s="51"/>
      <c r="B140" s="52"/>
      <c r="C140" s="52"/>
      <c r="D140" s="52"/>
      <c r="E140" s="52"/>
      <c r="F140" s="53"/>
      <c r="G140" s="53"/>
      <c r="H140" s="54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</row>
    <row r="141">
      <c r="A141" s="51"/>
      <c r="B141" s="52"/>
      <c r="C141" s="52"/>
      <c r="D141" s="52"/>
      <c r="E141" s="52"/>
      <c r="F141" s="53"/>
      <c r="G141" s="53"/>
      <c r="H141" s="54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</row>
    <row r="142">
      <c r="A142" s="51"/>
      <c r="B142" s="52"/>
      <c r="C142" s="52"/>
      <c r="D142" s="52"/>
      <c r="E142" s="52"/>
      <c r="F142" s="53"/>
      <c r="G142" s="53"/>
      <c r="H142" s="54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</row>
    <row r="143">
      <c r="A143" s="51"/>
      <c r="B143" s="52"/>
      <c r="C143" s="52"/>
      <c r="D143" s="52"/>
      <c r="E143" s="52"/>
      <c r="F143" s="53"/>
      <c r="G143" s="53"/>
      <c r="H143" s="54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</row>
    <row r="144">
      <c r="A144" s="51"/>
      <c r="B144" s="52"/>
      <c r="C144" s="52"/>
      <c r="D144" s="52"/>
      <c r="E144" s="52"/>
      <c r="F144" s="53"/>
      <c r="G144" s="53"/>
      <c r="H144" s="54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</row>
    <row r="145">
      <c r="A145" s="51"/>
      <c r="B145" s="52"/>
      <c r="C145" s="52"/>
      <c r="D145" s="52"/>
      <c r="E145" s="52"/>
      <c r="F145" s="53"/>
      <c r="G145" s="53"/>
      <c r="H145" s="54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</row>
    <row r="146">
      <c r="A146" s="51"/>
      <c r="B146" s="52"/>
      <c r="C146" s="52"/>
      <c r="D146" s="52"/>
      <c r="E146" s="52"/>
      <c r="F146" s="53"/>
      <c r="G146" s="53"/>
      <c r="H146" s="54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</row>
    <row r="147">
      <c r="A147" s="51"/>
      <c r="B147" s="52"/>
      <c r="C147" s="52"/>
      <c r="D147" s="52"/>
      <c r="E147" s="52"/>
      <c r="F147" s="53"/>
      <c r="G147" s="53"/>
      <c r="H147" s="54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</row>
    <row r="148">
      <c r="A148" s="51"/>
      <c r="B148" s="52"/>
      <c r="C148" s="52"/>
      <c r="D148" s="52"/>
      <c r="E148" s="52"/>
      <c r="F148" s="53"/>
      <c r="G148" s="53"/>
      <c r="H148" s="54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</row>
    <row r="149">
      <c r="A149" s="51"/>
      <c r="B149" s="52"/>
      <c r="C149" s="52"/>
      <c r="D149" s="52"/>
      <c r="E149" s="52"/>
      <c r="F149" s="53"/>
      <c r="G149" s="53"/>
      <c r="H149" s="54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</row>
    <row r="150">
      <c r="A150" s="51"/>
      <c r="B150" s="52"/>
      <c r="C150" s="52"/>
      <c r="D150" s="52"/>
      <c r="E150" s="52"/>
      <c r="F150" s="53"/>
      <c r="G150" s="53"/>
      <c r="H150" s="54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</row>
    <row r="151">
      <c r="A151" s="51"/>
      <c r="B151" s="52"/>
      <c r="C151" s="52"/>
      <c r="D151" s="52"/>
      <c r="E151" s="52"/>
      <c r="F151" s="53"/>
      <c r="G151" s="53"/>
      <c r="H151" s="54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</row>
    <row r="152">
      <c r="A152" s="51"/>
      <c r="B152" s="52"/>
      <c r="C152" s="52"/>
      <c r="D152" s="52"/>
      <c r="E152" s="52"/>
      <c r="F152" s="53"/>
      <c r="G152" s="53"/>
      <c r="H152" s="54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</row>
    <row r="153">
      <c r="A153" s="51"/>
      <c r="B153" s="52"/>
      <c r="C153" s="52"/>
      <c r="D153" s="52"/>
      <c r="E153" s="52"/>
      <c r="F153" s="53"/>
      <c r="G153" s="53"/>
      <c r="H153" s="54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</row>
    <row r="154">
      <c r="A154" s="51"/>
      <c r="B154" s="52"/>
      <c r="C154" s="52"/>
      <c r="D154" s="52"/>
      <c r="E154" s="52"/>
      <c r="F154" s="53"/>
      <c r="G154" s="53"/>
      <c r="H154" s="54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</row>
    <row r="155">
      <c r="A155" s="51"/>
      <c r="B155" s="52"/>
      <c r="C155" s="52"/>
      <c r="D155" s="52"/>
      <c r="E155" s="52"/>
      <c r="F155" s="53"/>
      <c r="G155" s="53"/>
      <c r="H155" s="54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</row>
    <row r="156">
      <c r="A156" s="51"/>
      <c r="B156" s="52"/>
      <c r="C156" s="52"/>
      <c r="D156" s="52"/>
      <c r="E156" s="52"/>
      <c r="F156" s="53"/>
      <c r="G156" s="53"/>
      <c r="H156" s="54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</row>
    <row r="157">
      <c r="A157" s="51"/>
      <c r="B157" s="52"/>
      <c r="C157" s="52"/>
      <c r="D157" s="52"/>
      <c r="E157" s="52"/>
      <c r="F157" s="53"/>
      <c r="G157" s="53"/>
      <c r="H157" s="54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</row>
    <row r="158">
      <c r="A158" s="51"/>
      <c r="B158" s="52"/>
      <c r="C158" s="52"/>
      <c r="D158" s="52"/>
      <c r="E158" s="52"/>
      <c r="F158" s="53"/>
      <c r="G158" s="53"/>
      <c r="H158" s="54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</row>
    <row r="159">
      <c r="A159" s="51"/>
      <c r="B159" s="52"/>
      <c r="C159" s="52"/>
      <c r="D159" s="52"/>
      <c r="E159" s="52"/>
      <c r="F159" s="53"/>
      <c r="G159" s="53"/>
      <c r="H159" s="54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</row>
    <row r="160">
      <c r="A160" s="51"/>
      <c r="B160" s="52"/>
      <c r="C160" s="52"/>
      <c r="D160" s="52"/>
      <c r="E160" s="52"/>
      <c r="F160" s="53"/>
      <c r="G160" s="53"/>
      <c r="H160" s="54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</row>
    <row r="161">
      <c r="A161" s="51"/>
      <c r="B161" s="52"/>
      <c r="C161" s="52"/>
      <c r="D161" s="52"/>
      <c r="E161" s="52"/>
      <c r="F161" s="53"/>
      <c r="G161" s="53"/>
      <c r="H161" s="54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</row>
    <row r="162">
      <c r="A162" s="51"/>
      <c r="B162" s="52"/>
      <c r="C162" s="52"/>
      <c r="D162" s="52"/>
      <c r="E162" s="52"/>
      <c r="F162" s="53"/>
      <c r="G162" s="53"/>
      <c r="H162" s="54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</row>
    <row r="163">
      <c r="A163" s="51"/>
      <c r="B163" s="52"/>
      <c r="C163" s="52"/>
      <c r="D163" s="52"/>
      <c r="E163" s="52"/>
      <c r="F163" s="53"/>
      <c r="G163" s="53"/>
      <c r="H163" s="54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</row>
    <row r="164">
      <c r="A164" s="51"/>
      <c r="B164" s="52"/>
      <c r="C164" s="52"/>
      <c r="D164" s="52"/>
      <c r="E164" s="52"/>
      <c r="F164" s="53"/>
      <c r="G164" s="53"/>
      <c r="H164" s="54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</row>
    <row r="165">
      <c r="A165" s="51"/>
      <c r="B165" s="52"/>
      <c r="C165" s="52"/>
      <c r="D165" s="52"/>
      <c r="E165" s="52"/>
      <c r="F165" s="53"/>
      <c r="G165" s="53"/>
      <c r="H165" s="54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</row>
    <row r="166">
      <c r="A166" s="51"/>
      <c r="B166" s="52"/>
      <c r="C166" s="52"/>
      <c r="D166" s="52"/>
      <c r="E166" s="52"/>
      <c r="F166" s="53"/>
      <c r="G166" s="53"/>
      <c r="H166" s="54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</row>
    <row r="167">
      <c r="A167" s="51"/>
      <c r="B167" s="52"/>
      <c r="C167" s="52"/>
      <c r="D167" s="52"/>
      <c r="E167" s="52"/>
      <c r="F167" s="53"/>
      <c r="G167" s="53"/>
      <c r="H167" s="54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</row>
    <row r="168">
      <c r="A168" s="51"/>
      <c r="B168" s="52"/>
      <c r="C168" s="52"/>
      <c r="D168" s="52"/>
      <c r="E168" s="52"/>
      <c r="F168" s="53"/>
      <c r="G168" s="53"/>
      <c r="H168" s="54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</row>
    <row r="169">
      <c r="A169" s="51"/>
      <c r="B169" s="52"/>
      <c r="C169" s="52"/>
      <c r="D169" s="52"/>
      <c r="E169" s="52"/>
      <c r="F169" s="53"/>
      <c r="G169" s="53"/>
      <c r="H169" s="54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</row>
    <row r="170">
      <c r="A170" s="51"/>
      <c r="B170" s="52"/>
      <c r="C170" s="52"/>
      <c r="D170" s="52"/>
      <c r="E170" s="52"/>
      <c r="F170" s="53"/>
      <c r="G170" s="53"/>
      <c r="H170" s="54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</row>
    <row r="171">
      <c r="A171" s="51"/>
      <c r="B171" s="52"/>
      <c r="C171" s="52"/>
      <c r="D171" s="52"/>
      <c r="E171" s="52"/>
      <c r="F171" s="53"/>
      <c r="G171" s="53"/>
      <c r="H171" s="54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</row>
    <row r="172">
      <c r="A172" s="51"/>
      <c r="B172" s="52"/>
      <c r="C172" s="52"/>
      <c r="D172" s="52"/>
      <c r="E172" s="52"/>
      <c r="F172" s="53"/>
      <c r="G172" s="53"/>
      <c r="H172" s="54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</row>
    <row r="173">
      <c r="A173" s="51"/>
      <c r="B173" s="52"/>
      <c r="C173" s="52"/>
      <c r="D173" s="52"/>
      <c r="E173" s="52"/>
      <c r="F173" s="53"/>
      <c r="G173" s="53"/>
      <c r="H173" s="54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</row>
    <row r="174">
      <c r="A174" s="51"/>
      <c r="B174" s="52"/>
      <c r="C174" s="52"/>
      <c r="D174" s="52"/>
      <c r="E174" s="52"/>
      <c r="F174" s="53"/>
      <c r="G174" s="53"/>
      <c r="H174" s="54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</row>
    <row r="175">
      <c r="A175" s="51"/>
      <c r="B175" s="52"/>
      <c r="C175" s="52"/>
      <c r="D175" s="52"/>
      <c r="E175" s="52"/>
      <c r="F175" s="53"/>
      <c r="G175" s="53"/>
      <c r="H175" s="54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</row>
    <row r="176">
      <c r="A176" s="51"/>
      <c r="B176" s="52"/>
      <c r="C176" s="52"/>
      <c r="D176" s="52"/>
      <c r="E176" s="52"/>
      <c r="F176" s="53"/>
      <c r="G176" s="53"/>
      <c r="H176" s="54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</row>
    <row r="177">
      <c r="A177" s="51"/>
      <c r="B177" s="52"/>
      <c r="C177" s="52"/>
      <c r="D177" s="52"/>
      <c r="E177" s="52"/>
      <c r="F177" s="53"/>
      <c r="G177" s="53"/>
      <c r="H177" s="54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</row>
    <row r="178">
      <c r="A178" s="51"/>
      <c r="B178" s="52"/>
      <c r="C178" s="52"/>
      <c r="D178" s="52"/>
      <c r="E178" s="52"/>
      <c r="F178" s="53"/>
      <c r="G178" s="53"/>
      <c r="H178" s="54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</row>
    <row r="179">
      <c r="A179" s="51"/>
      <c r="B179" s="52"/>
      <c r="C179" s="52"/>
      <c r="D179" s="52"/>
      <c r="E179" s="52"/>
      <c r="F179" s="53"/>
      <c r="G179" s="53"/>
      <c r="H179" s="54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</row>
    <row r="180">
      <c r="A180" s="51"/>
      <c r="B180" s="52"/>
      <c r="C180" s="52"/>
      <c r="D180" s="52"/>
      <c r="E180" s="52"/>
      <c r="F180" s="53"/>
      <c r="G180" s="53"/>
      <c r="H180" s="54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</row>
    <row r="181">
      <c r="A181" s="51"/>
      <c r="B181" s="52"/>
      <c r="C181" s="52"/>
      <c r="D181" s="52"/>
      <c r="E181" s="52"/>
      <c r="F181" s="53"/>
      <c r="G181" s="53"/>
      <c r="H181" s="54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</row>
    <row r="182">
      <c r="A182" s="51"/>
      <c r="B182" s="52"/>
      <c r="C182" s="52"/>
      <c r="D182" s="52"/>
      <c r="E182" s="52"/>
      <c r="F182" s="53"/>
      <c r="G182" s="53"/>
      <c r="H182" s="54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</row>
    <row r="183">
      <c r="A183" s="51"/>
      <c r="B183" s="52"/>
      <c r="C183" s="52"/>
      <c r="D183" s="52"/>
      <c r="E183" s="52"/>
      <c r="F183" s="53"/>
      <c r="G183" s="53"/>
      <c r="H183" s="54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</row>
    <row r="184">
      <c r="A184" s="51"/>
      <c r="B184" s="52"/>
      <c r="C184" s="52"/>
      <c r="D184" s="52"/>
      <c r="E184" s="52"/>
      <c r="F184" s="53"/>
      <c r="G184" s="53"/>
      <c r="H184" s="54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</row>
    <row r="185">
      <c r="A185" s="51"/>
      <c r="B185" s="52"/>
      <c r="C185" s="52"/>
      <c r="D185" s="52"/>
      <c r="E185" s="52"/>
      <c r="F185" s="53"/>
      <c r="G185" s="53"/>
      <c r="H185" s="54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</row>
    <row r="186">
      <c r="A186" s="51"/>
      <c r="B186" s="52"/>
      <c r="C186" s="52"/>
      <c r="D186" s="52"/>
      <c r="E186" s="52"/>
      <c r="F186" s="53"/>
      <c r="G186" s="53"/>
      <c r="H186" s="54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</row>
    <row r="187">
      <c r="A187" s="51"/>
      <c r="B187" s="52"/>
      <c r="C187" s="52"/>
      <c r="D187" s="52"/>
      <c r="E187" s="52"/>
      <c r="F187" s="53"/>
      <c r="G187" s="53"/>
      <c r="H187" s="54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</row>
    <row r="188">
      <c r="A188" s="51"/>
      <c r="B188" s="52"/>
      <c r="C188" s="52"/>
      <c r="D188" s="52"/>
      <c r="E188" s="52"/>
      <c r="F188" s="53"/>
      <c r="G188" s="53"/>
      <c r="H188" s="54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</row>
    <row r="189">
      <c r="A189" s="51"/>
      <c r="B189" s="52"/>
      <c r="C189" s="52"/>
      <c r="D189" s="52"/>
      <c r="E189" s="52"/>
      <c r="F189" s="53"/>
      <c r="G189" s="53"/>
      <c r="H189" s="54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</row>
    <row r="190">
      <c r="A190" s="51"/>
      <c r="B190" s="52"/>
      <c r="C190" s="52"/>
      <c r="D190" s="52"/>
      <c r="E190" s="52"/>
      <c r="F190" s="53"/>
      <c r="G190" s="53"/>
      <c r="H190" s="54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</row>
    <row r="191">
      <c r="A191" s="51"/>
      <c r="B191" s="52"/>
      <c r="C191" s="52"/>
      <c r="D191" s="52"/>
      <c r="E191" s="52"/>
      <c r="F191" s="53"/>
      <c r="G191" s="53"/>
      <c r="H191" s="54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</row>
    <row r="192">
      <c r="A192" s="51"/>
      <c r="B192" s="52"/>
      <c r="C192" s="52"/>
      <c r="D192" s="52"/>
      <c r="E192" s="52"/>
      <c r="F192" s="53"/>
      <c r="G192" s="53"/>
      <c r="H192" s="54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</row>
    <row r="193">
      <c r="A193" s="51"/>
      <c r="B193" s="52"/>
      <c r="C193" s="52"/>
      <c r="D193" s="52"/>
      <c r="E193" s="52"/>
      <c r="F193" s="53"/>
      <c r="G193" s="53"/>
      <c r="H193" s="54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</row>
    <row r="194">
      <c r="A194" s="51"/>
      <c r="B194" s="52"/>
      <c r="C194" s="52"/>
      <c r="D194" s="52"/>
      <c r="E194" s="52"/>
      <c r="F194" s="53"/>
      <c r="G194" s="53"/>
      <c r="H194" s="54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</row>
    <row r="195">
      <c r="A195" s="51"/>
      <c r="B195" s="52"/>
      <c r="C195" s="52"/>
      <c r="D195" s="52"/>
      <c r="E195" s="52"/>
      <c r="F195" s="53"/>
      <c r="G195" s="53"/>
      <c r="H195" s="54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</row>
    <row r="196">
      <c r="A196" s="51"/>
      <c r="B196" s="52"/>
      <c r="C196" s="52"/>
      <c r="D196" s="52"/>
      <c r="E196" s="52"/>
      <c r="F196" s="53"/>
      <c r="G196" s="53"/>
      <c r="H196" s="54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</row>
    <row r="197">
      <c r="A197" s="51"/>
      <c r="B197" s="52"/>
      <c r="C197" s="52"/>
      <c r="D197" s="52"/>
      <c r="E197" s="52"/>
      <c r="F197" s="53"/>
      <c r="G197" s="53"/>
      <c r="H197" s="54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</row>
    <row r="198">
      <c r="A198" s="51"/>
      <c r="B198" s="52"/>
      <c r="C198" s="52"/>
      <c r="D198" s="52"/>
      <c r="E198" s="52"/>
      <c r="F198" s="53"/>
      <c r="G198" s="53"/>
      <c r="H198" s="54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</row>
    <row r="199">
      <c r="A199" s="51"/>
      <c r="B199" s="52"/>
      <c r="C199" s="52"/>
      <c r="D199" s="52"/>
      <c r="E199" s="52"/>
      <c r="F199" s="53"/>
      <c r="G199" s="53"/>
      <c r="H199" s="54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</row>
    <row r="200">
      <c r="A200" s="51"/>
      <c r="B200" s="52"/>
      <c r="C200" s="52"/>
      <c r="D200" s="52"/>
      <c r="E200" s="52"/>
      <c r="F200" s="53"/>
      <c r="G200" s="53"/>
      <c r="H200" s="54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</row>
    <row r="201">
      <c r="A201" s="51"/>
      <c r="B201" s="52"/>
      <c r="C201" s="52"/>
      <c r="D201" s="52"/>
      <c r="E201" s="52"/>
      <c r="F201" s="53"/>
      <c r="G201" s="53"/>
      <c r="H201" s="54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</row>
    <row r="202">
      <c r="A202" s="51"/>
      <c r="B202" s="52"/>
      <c r="C202" s="52"/>
      <c r="D202" s="52"/>
      <c r="E202" s="52"/>
      <c r="F202" s="53"/>
      <c r="G202" s="53"/>
      <c r="H202" s="54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</row>
    <row r="203">
      <c r="A203" s="51"/>
      <c r="B203" s="52"/>
      <c r="C203" s="52"/>
      <c r="D203" s="52"/>
      <c r="E203" s="52"/>
      <c r="F203" s="53"/>
      <c r="G203" s="53"/>
      <c r="H203" s="54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</row>
    <row r="204">
      <c r="A204" s="51"/>
      <c r="B204" s="52"/>
      <c r="C204" s="52"/>
      <c r="D204" s="52"/>
      <c r="E204" s="52"/>
      <c r="F204" s="53"/>
      <c r="G204" s="53"/>
      <c r="H204" s="54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</row>
    <row r="205">
      <c r="A205" s="51"/>
      <c r="B205" s="52"/>
      <c r="C205" s="52"/>
      <c r="D205" s="52"/>
      <c r="E205" s="52"/>
      <c r="F205" s="53"/>
      <c r="G205" s="53"/>
      <c r="H205" s="54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</row>
    <row r="206">
      <c r="A206" s="51"/>
      <c r="B206" s="52"/>
      <c r="C206" s="52"/>
      <c r="D206" s="52"/>
      <c r="E206" s="52"/>
      <c r="F206" s="53"/>
      <c r="G206" s="53"/>
      <c r="H206" s="54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</row>
    <row r="207">
      <c r="A207" s="51"/>
      <c r="B207" s="52"/>
      <c r="C207" s="52"/>
      <c r="D207" s="52"/>
      <c r="E207" s="52"/>
      <c r="F207" s="53"/>
      <c r="G207" s="53"/>
      <c r="H207" s="54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</row>
    <row r="208">
      <c r="A208" s="51"/>
      <c r="B208" s="52"/>
      <c r="C208" s="52"/>
      <c r="D208" s="52"/>
      <c r="E208" s="52"/>
      <c r="F208" s="53"/>
      <c r="G208" s="53"/>
      <c r="H208" s="54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</row>
    <row r="209">
      <c r="A209" s="51"/>
      <c r="B209" s="52"/>
      <c r="C209" s="52"/>
      <c r="D209" s="52"/>
      <c r="E209" s="52"/>
      <c r="F209" s="53"/>
      <c r="G209" s="53"/>
      <c r="H209" s="54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</row>
    <row r="210">
      <c r="A210" s="51"/>
      <c r="B210" s="52"/>
      <c r="C210" s="52"/>
      <c r="D210" s="52"/>
      <c r="E210" s="52"/>
      <c r="F210" s="53"/>
      <c r="G210" s="53"/>
      <c r="H210" s="54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</row>
    <row r="211">
      <c r="A211" s="51"/>
      <c r="B211" s="52"/>
      <c r="C211" s="52"/>
      <c r="D211" s="52"/>
      <c r="E211" s="52"/>
      <c r="F211" s="53"/>
      <c r="G211" s="53"/>
      <c r="H211" s="54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</row>
    <row r="212">
      <c r="A212" s="51"/>
      <c r="B212" s="52"/>
      <c r="C212" s="52"/>
      <c r="D212" s="52"/>
      <c r="E212" s="52"/>
      <c r="F212" s="53"/>
      <c r="G212" s="53"/>
      <c r="H212" s="54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</row>
    <row r="213">
      <c r="A213" s="51"/>
      <c r="B213" s="52"/>
      <c r="C213" s="52"/>
      <c r="D213" s="52"/>
      <c r="E213" s="52"/>
      <c r="F213" s="53"/>
      <c r="G213" s="53"/>
      <c r="H213" s="54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</row>
    <row r="214">
      <c r="A214" s="51"/>
      <c r="B214" s="52"/>
      <c r="C214" s="52"/>
      <c r="D214" s="52"/>
      <c r="E214" s="52"/>
      <c r="F214" s="53"/>
      <c r="G214" s="53"/>
      <c r="H214" s="54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</row>
    <row r="215">
      <c r="A215" s="51"/>
      <c r="B215" s="52"/>
      <c r="C215" s="52"/>
      <c r="D215" s="52"/>
      <c r="E215" s="52"/>
      <c r="F215" s="53"/>
      <c r="G215" s="53"/>
      <c r="H215" s="54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</row>
    <row r="216">
      <c r="A216" s="51"/>
      <c r="B216" s="52"/>
      <c r="C216" s="52"/>
      <c r="D216" s="52"/>
      <c r="E216" s="52"/>
      <c r="F216" s="53"/>
      <c r="G216" s="53"/>
      <c r="H216" s="54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</row>
    <row r="217">
      <c r="A217" s="51"/>
      <c r="B217" s="52"/>
      <c r="C217" s="52"/>
      <c r="D217" s="52"/>
      <c r="E217" s="52"/>
      <c r="F217" s="53"/>
      <c r="G217" s="53"/>
      <c r="H217" s="54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</row>
    <row r="218">
      <c r="A218" s="51"/>
      <c r="B218" s="52"/>
      <c r="C218" s="52"/>
      <c r="D218" s="52"/>
      <c r="E218" s="52"/>
      <c r="F218" s="53"/>
      <c r="G218" s="53"/>
      <c r="H218" s="54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</row>
    <row r="219">
      <c r="A219" s="51"/>
      <c r="B219" s="52"/>
      <c r="C219" s="52"/>
      <c r="D219" s="52"/>
      <c r="E219" s="52"/>
      <c r="F219" s="53"/>
      <c r="G219" s="53"/>
      <c r="H219" s="54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</row>
    <row r="220">
      <c r="A220" s="51"/>
      <c r="B220" s="52"/>
      <c r="C220" s="52"/>
      <c r="D220" s="52"/>
      <c r="E220" s="52"/>
      <c r="F220" s="53"/>
      <c r="G220" s="53"/>
      <c r="H220" s="54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</row>
    <row r="221">
      <c r="A221" s="51"/>
      <c r="B221" s="52"/>
      <c r="C221" s="52"/>
      <c r="D221" s="52"/>
      <c r="E221" s="52"/>
      <c r="F221" s="53"/>
      <c r="G221" s="53"/>
      <c r="H221" s="54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</row>
    <row r="222">
      <c r="A222" s="51"/>
      <c r="B222" s="52"/>
      <c r="C222" s="52"/>
      <c r="D222" s="52"/>
      <c r="E222" s="52"/>
      <c r="F222" s="53"/>
      <c r="G222" s="53"/>
      <c r="H222" s="54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</row>
    <row r="223">
      <c r="A223" s="51"/>
      <c r="B223" s="52"/>
      <c r="C223" s="52"/>
      <c r="D223" s="52"/>
      <c r="E223" s="52"/>
      <c r="F223" s="53"/>
      <c r="G223" s="53"/>
      <c r="H223" s="54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</row>
    <row r="224">
      <c r="A224" s="51"/>
      <c r="B224" s="52"/>
      <c r="C224" s="52"/>
      <c r="D224" s="52"/>
      <c r="E224" s="52"/>
      <c r="F224" s="53"/>
      <c r="G224" s="53"/>
      <c r="H224" s="54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</row>
    <row r="225">
      <c r="A225" s="51"/>
      <c r="B225" s="52"/>
      <c r="C225" s="52"/>
      <c r="D225" s="52"/>
      <c r="E225" s="52"/>
      <c r="F225" s="53"/>
      <c r="G225" s="53"/>
      <c r="H225" s="54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</row>
    <row r="226">
      <c r="A226" s="51"/>
      <c r="B226" s="52"/>
      <c r="C226" s="52"/>
      <c r="D226" s="52"/>
      <c r="E226" s="52"/>
      <c r="F226" s="53"/>
      <c r="G226" s="53"/>
      <c r="H226" s="54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</row>
    <row r="227">
      <c r="A227" s="51"/>
      <c r="B227" s="52"/>
      <c r="C227" s="52"/>
      <c r="D227" s="52"/>
      <c r="E227" s="52"/>
      <c r="F227" s="53"/>
      <c r="G227" s="53"/>
      <c r="H227" s="54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</row>
    <row r="228">
      <c r="A228" s="51"/>
      <c r="B228" s="52"/>
      <c r="C228" s="52"/>
      <c r="D228" s="52"/>
      <c r="E228" s="52"/>
      <c r="F228" s="53"/>
      <c r="G228" s="53"/>
      <c r="H228" s="54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</row>
    <row r="229">
      <c r="A229" s="51"/>
      <c r="B229" s="52"/>
      <c r="C229" s="52"/>
      <c r="D229" s="52"/>
      <c r="E229" s="52"/>
      <c r="F229" s="53"/>
      <c r="G229" s="53"/>
      <c r="H229" s="54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</row>
    <row r="230">
      <c r="A230" s="51"/>
      <c r="B230" s="52"/>
      <c r="C230" s="52"/>
      <c r="D230" s="52"/>
      <c r="E230" s="52"/>
      <c r="F230" s="53"/>
      <c r="G230" s="53"/>
      <c r="H230" s="54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</row>
    <row r="231">
      <c r="A231" s="51"/>
      <c r="B231" s="52"/>
      <c r="C231" s="52"/>
      <c r="D231" s="52"/>
      <c r="E231" s="52"/>
      <c r="F231" s="53"/>
      <c r="G231" s="53"/>
      <c r="H231" s="54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</row>
    <row r="232">
      <c r="A232" s="51"/>
      <c r="B232" s="52"/>
      <c r="C232" s="52"/>
      <c r="D232" s="52"/>
      <c r="E232" s="52"/>
      <c r="F232" s="53"/>
      <c r="G232" s="53"/>
      <c r="H232" s="54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</row>
    <row r="233">
      <c r="A233" s="51"/>
      <c r="B233" s="52"/>
      <c r="C233" s="52"/>
      <c r="D233" s="52"/>
      <c r="E233" s="52"/>
      <c r="F233" s="53"/>
      <c r="G233" s="53"/>
      <c r="H233" s="54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</row>
    <row r="234">
      <c r="A234" s="51"/>
      <c r="B234" s="52"/>
      <c r="C234" s="52"/>
      <c r="D234" s="52"/>
      <c r="E234" s="52"/>
      <c r="F234" s="53"/>
      <c r="G234" s="53"/>
      <c r="H234" s="54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</row>
    <row r="235">
      <c r="A235" s="51"/>
      <c r="B235" s="52"/>
      <c r="C235" s="52"/>
      <c r="D235" s="52"/>
      <c r="E235" s="52"/>
      <c r="F235" s="53"/>
      <c r="G235" s="53"/>
      <c r="H235" s="54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</row>
    <row r="236">
      <c r="A236" s="51"/>
      <c r="B236" s="52"/>
      <c r="C236" s="52"/>
      <c r="D236" s="52"/>
      <c r="E236" s="52"/>
      <c r="F236" s="53"/>
      <c r="G236" s="53"/>
      <c r="H236" s="54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</row>
    <row r="237">
      <c r="A237" s="51"/>
      <c r="B237" s="52"/>
      <c r="C237" s="52"/>
      <c r="D237" s="52"/>
      <c r="E237" s="52"/>
      <c r="F237" s="53"/>
      <c r="G237" s="53"/>
      <c r="H237" s="54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</row>
    <row r="238">
      <c r="A238" s="51"/>
      <c r="B238" s="52"/>
      <c r="C238" s="52"/>
      <c r="D238" s="52"/>
      <c r="E238" s="52"/>
      <c r="F238" s="53"/>
      <c r="G238" s="53"/>
      <c r="H238" s="54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</row>
    <row r="239">
      <c r="A239" s="51"/>
      <c r="B239" s="52"/>
      <c r="C239" s="52"/>
      <c r="D239" s="52"/>
      <c r="E239" s="52"/>
      <c r="F239" s="53"/>
      <c r="G239" s="53"/>
      <c r="H239" s="54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</row>
    <row r="240">
      <c r="A240" s="51"/>
      <c r="B240" s="52"/>
      <c r="C240" s="52"/>
      <c r="D240" s="52"/>
      <c r="E240" s="52"/>
      <c r="F240" s="53"/>
      <c r="G240" s="53"/>
      <c r="H240" s="54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</row>
    <row r="241">
      <c r="A241" s="51"/>
      <c r="B241" s="52"/>
      <c r="C241" s="52"/>
      <c r="D241" s="52"/>
      <c r="E241" s="52"/>
      <c r="F241" s="53"/>
      <c r="G241" s="53"/>
      <c r="H241" s="54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</row>
    <row r="242">
      <c r="A242" s="51"/>
      <c r="B242" s="52"/>
      <c r="C242" s="52"/>
      <c r="D242" s="52"/>
      <c r="E242" s="52"/>
      <c r="F242" s="53"/>
      <c r="G242" s="53"/>
      <c r="H242" s="54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</row>
    <row r="243">
      <c r="A243" s="51"/>
      <c r="B243" s="52"/>
      <c r="C243" s="52"/>
      <c r="D243" s="52"/>
      <c r="E243" s="52"/>
      <c r="F243" s="53"/>
      <c r="G243" s="53"/>
      <c r="H243" s="54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</row>
    <row r="244">
      <c r="A244" s="51"/>
      <c r="B244" s="52"/>
      <c r="C244" s="52"/>
      <c r="D244" s="52"/>
      <c r="E244" s="52"/>
      <c r="F244" s="53"/>
      <c r="G244" s="53"/>
      <c r="H244" s="54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</row>
    <row r="245">
      <c r="A245" s="51"/>
      <c r="B245" s="52"/>
      <c r="C245" s="52"/>
      <c r="D245" s="52"/>
      <c r="E245" s="52"/>
      <c r="F245" s="53"/>
      <c r="G245" s="53"/>
      <c r="H245" s="54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</row>
    <row r="246">
      <c r="A246" s="51"/>
      <c r="B246" s="52"/>
      <c r="C246" s="52"/>
      <c r="D246" s="52"/>
      <c r="E246" s="52"/>
      <c r="F246" s="53"/>
      <c r="G246" s="53"/>
      <c r="H246" s="54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</row>
    <row r="247">
      <c r="A247" s="51"/>
      <c r="B247" s="52"/>
      <c r="C247" s="52"/>
      <c r="D247" s="52"/>
      <c r="E247" s="52"/>
      <c r="F247" s="53"/>
      <c r="G247" s="53"/>
      <c r="H247" s="54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</row>
    <row r="248">
      <c r="A248" s="51"/>
      <c r="B248" s="52"/>
      <c r="C248" s="52"/>
      <c r="D248" s="52"/>
      <c r="E248" s="52"/>
      <c r="F248" s="53"/>
      <c r="G248" s="53"/>
      <c r="H248" s="54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</row>
    <row r="249">
      <c r="A249" s="51"/>
      <c r="B249" s="52"/>
      <c r="C249" s="52"/>
      <c r="D249" s="52"/>
      <c r="E249" s="52"/>
      <c r="F249" s="53"/>
      <c r="G249" s="53"/>
      <c r="H249" s="54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</row>
    <row r="250">
      <c r="A250" s="51"/>
      <c r="B250" s="52"/>
      <c r="C250" s="52"/>
      <c r="D250" s="52"/>
      <c r="E250" s="52"/>
      <c r="F250" s="53"/>
      <c r="G250" s="53"/>
      <c r="H250" s="54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</row>
    <row r="251">
      <c r="A251" s="51"/>
      <c r="B251" s="52"/>
      <c r="C251" s="52"/>
      <c r="D251" s="52"/>
      <c r="E251" s="52"/>
      <c r="F251" s="53"/>
      <c r="G251" s="53"/>
      <c r="H251" s="54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</row>
    <row r="252">
      <c r="A252" s="51"/>
      <c r="B252" s="52"/>
      <c r="C252" s="52"/>
      <c r="D252" s="52"/>
      <c r="E252" s="52"/>
      <c r="F252" s="53"/>
      <c r="G252" s="53"/>
      <c r="H252" s="54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</row>
    <row r="253">
      <c r="A253" s="51"/>
      <c r="B253" s="52"/>
      <c r="C253" s="52"/>
      <c r="D253" s="52"/>
      <c r="E253" s="52"/>
      <c r="F253" s="53"/>
      <c r="G253" s="53"/>
      <c r="H253" s="54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</row>
    <row r="254">
      <c r="A254" s="51"/>
      <c r="B254" s="52"/>
      <c r="C254" s="52"/>
      <c r="D254" s="52"/>
      <c r="E254" s="52"/>
      <c r="F254" s="53"/>
      <c r="G254" s="53"/>
      <c r="H254" s="54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</row>
    <row r="255">
      <c r="A255" s="51"/>
      <c r="B255" s="52"/>
      <c r="C255" s="52"/>
      <c r="D255" s="52"/>
      <c r="E255" s="52"/>
      <c r="F255" s="53"/>
      <c r="G255" s="53"/>
      <c r="H255" s="54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</row>
    <row r="256">
      <c r="A256" s="51"/>
      <c r="B256" s="51"/>
      <c r="C256" s="51"/>
      <c r="D256" s="51"/>
      <c r="E256" s="51"/>
      <c r="F256" s="54"/>
      <c r="G256" s="55"/>
      <c r="H256" s="54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</row>
    <row r="257">
      <c r="A257" s="51"/>
      <c r="B257" s="51"/>
      <c r="C257" s="51"/>
      <c r="D257" s="51"/>
      <c r="E257" s="51"/>
      <c r="F257" s="54"/>
      <c r="G257" s="55"/>
      <c r="H257" s="54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</row>
    <row r="258">
      <c r="A258" s="51"/>
      <c r="B258" s="51"/>
      <c r="C258" s="51"/>
      <c r="D258" s="51"/>
      <c r="E258" s="51"/>
      <c r="F258" s="54"/>
      <c r="G258" s="55"/>
      <c r="H258" s="54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</row>
    <row r="259">
      <c r="A259" s="51"/>
      <c r="B259" s="51"/>
      <c r="C259" s="51"/>
      <c r="D259" s="51"/>
      <c r="E259" s="51"/>
      <c r="F259" s="54"/>
      <c r="G259" s="55"/>
      <c r="H259" s="54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</row>
    <row r="260">
      <c r="A260" s="51"/>
      <c r="B260" s="51"/>
      <c r="C260" s="51"/>
      <c r="D260" s="51"/>
      <c r="E260" s="51"/>
      <c r="F260" s="54"/>
      <c r="G260" s="55"/>
      <c r="H260" s="54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</row>
    <row r="261">
      <c r="A261" s="51"/>
      <c r="B261" s="51"/>
      <c r="C261" s="51"/>
      <c r="D261" s="51"/>
      <c r="E261" s="51"/>
      <c r="F261" s="54"/>
      <c r="G261" s="55"/>
      <c r="H261" s="54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</row>
    <row r="262">
      <c r="A262" s="51"/>
      <c r="B262" s="51"/>
      <c r="C262" s="51"/>
      <c r="D262" s="51"/>
      <c r="E262" s="51"/>
      <c r="F262" s="54"/>
      <c r="G262" s="55"/>
      <c r="H262" s="54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</row>
    <row r="263">
      <c r="A263" s="51"/>
      <c r="B263" s="51"/>
      <c r="C263" s="51"/>
      <c r="D263" s="51"/>
      <c r="E263" s="51"/>
      <c r="F263" s="54"/>
      <c r="G263" s="55"/>
      <c r="H263" s="54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</row>
    <row r="264">
      <c r="A264" s="51"/>
      <c r="B264" s="51"/>
      <c r="C264" s="51"/>
      <c r="D264" s="51"/>
      <c r="E264" s="51"/>
      <c r="F264" s="54"/>
      <c r="G264" s="55"/>
      <c r="H264" s="54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</row>
    <row r="265">
      <c r="A265" s="51"/>
      <c r="B265" s="51"/>
      <c r="C265" s="51"/>
      <c r="D265" s="51"/>
      <c r="E265" s="51"/>
      <c r="F265" s="54"/>
      <c r="G265" s="55"/>
      <c r="H265" s="54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</row>
    <row r="266">
      <c r="A266" s="51"/>
      <c r="B266" s="51"/>
      <c r="C266" s="51"/>
      <c r="D266" s="51"/>
      <c r="E266" s="51"/>
      <c r="F266" s="54"/>
      <c r="G266" s="55"/>
      <c r="H266" s="54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</row>
    <row r="267">
      <c r="A267" s="51"/>
      <c r="B267" s="51"/>
      <c r="C267" s="51"/>
      <c r="D267" s="51"/>
      <c r="E267" s="51"/>
      <c r="F267" s="54"/>
      <c r="G267" s="55"/>
      <c r="H267" s="54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</row>
    <row r="268">
      <c r="A268" s="51"/>
      <c r="B268" s="51"/>
      <c r="C268" s="51"/>
      <c r="D268" s="51"/>
      <c r="E268" s="51"/>
      <c r="F268" s="54"/>
      <c r="G268" s="55"/>
      <c r="H268" s="54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</row>
    <row r="269">
      <c r="A269" s="51"/>
      <c r="B269" s="51"/>
      <c r="C269" s="51"/>
      <c r="D269" s="51"/>
      <c r="E269" s="51"/>
      <c r="F269" s="54"/>
      <c r="G269" s="55"/>
      <c r="H269" s="54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</row>
    <row r="270">
      <c r="A270" s="51"/>
      <c r="B270" s="51"/>
      <c r="C270" s="51"/>
      <c r="D270" s="51"/>
      <c r="E270" s="51"/>
      <c r="F270" s="54"/>
      <c r="G270" s="55"/>
      <c r="H270" s="54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</row>
    <row r="271">
      <c r="A271" s="51"/>
      <c r="B271" s="51"/>
      <c r="C271" s="51"/>
      <c r="D271" s="51"/>
      <c r="E271" s="51"/>
      <c r="F271" s="54"/>
      <c r="G271" s="55"/>
      <c r="H271" s="54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</row>
    <row r="272">
      <c r="A272" s="51"/>
      <c r="B272" s="51"/>
      <c r="C272" s="51"/>
      <c r="D272" s="51"/>
      <c r="E272" s="51"/>
      <c r="F272" s="54"/>
      <c r="G272" s="55"/>
      <c r="H272" s="54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</row>
    <row r="273">
      <c r="A273" s="51"/>
      <c r="B273" s="51"/>
      <c r="C273" s="51"/>
      <c r="D273" s="51"/>
      <c r="E273" s="51"/>
      <c r="F273" s="54"/>
      <c r="G273" s="55"/>
      <c r="H273" s="54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</row>
    <row r="274">
      <c r="A274" s="51"/>
      <c r="B274" s="51"/>
      <c r="C274" s="51"/>
      <c r="D274" s="51"/>
      <c r="E274" s="51"/>
      <c r="F274" s="54"/>
      <c r="G274" s="55"/>
      <c r="H274" s="54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</row>
    <row r="275">
      <c r="A275" s="51"/>
      <c r="B275" s="51"/>
      <c r="C275" s="51"/>
      <c r="D275" s="51"/>
      <c r="E275" s="51"/>
      <c r="F275" s="54"/>
      <c r="G275" s="55"/>
      <c r="H275" s="54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</row>
    <row r="276">
      <c r="A276" s="51"/>
      <c r="B276" s="51"/>
      <c r="C276" s="51"/>
      <c r="D276" s="51"/>
      <c r="E276" s="51"/>
      <c r="F276" s="54"/>
      <c r="G276" s="55"/>
      <c r="H276" s="54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</row>
    <row r="277">
      <c r="A277" s="51"/>
      <c r="B277" s="51"/>
      <c r="C277" s="51"/>
      <c r="D277" s="51"/>
      <c r="E277" s="51"/>
      <c r="F277" s="54"/>
      <c r="G277" s="55"/>
      <c r="H277" s="54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</row>
    <row r="278">
      <c r="A278" s="51"/>
      <c r="B278" s="51"/>
      <c r="C278" s="51"/>
      <c r="D278" s="51"/>
      <c r="E278" s="51"/>
      <c r="F278" s="54"/>
      <c r="G278" s="55"/>
      <c r="H278" s="54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</row>
    <row r="279">
      <c r="A279" s="51"/>
      <c r="B279" s="51"/>
      <c r="C279" s="51"/>
      <c r="D279" s="51"/>
      <c r="E279" s="51"/>
      <c r="F279" s="54"/>
      <c r="G279" s="55"/>
      <c r="H279" s="54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</row>
    <row r="280">
      <c r="A280" s="51"/>
      <c r="B280" s="51"/>
      <c r="C280" s="51"/>
      <c r="D280" s="51"/>
      <c r="E280" s="51"/>
      <c r="F280" s="54"/>
      <c r="G280" s="55"/>
      <c r="H280" s="54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</row>
    <row r="281">
      <c r="A281" s="51"/>
      <c r="B281" s="51"/>
      <c r="C281" s="51"/>
      <c r="D281" s="51"/>
      <c r="E281" s="51"/>
      <c r="F281" s="54"/>
      <c r="G281" s="55"/>
      <c r="H281" s="54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</row>
    <row r="282">
      <c r="A282" s="51"/>
      <c r="B282" s="51"/>
      <c r="C282" s="51"/>
      <c r="D282" s="51"/>
      <c r="E282" s="51"/>
      <c r="F282" s="54"/>
      <c r="G282" s="55"/>
      <c r="H282" s="54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</row>
    <row r="283">
      <c r="A283" s="51"/>
      <c r="B283" s="51"/>
      <c r="C283" s="51"/>
      <c r="D283" s="51"/>
      <c r="E283" s="51"/>
      <c r="F283" s="54"/>
      <c r="G283" s="55"/>
      <c r="H283" s="54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</row>
    <row r="284">
      <c r="A284" s="51"/>
      <c r="B284" s="51"/>
      <c r="C284" s="51"/>
      <c r="D284" s="51"/>
      <c r="E284" s="51"/>
      <c r="F284" s="54"/>
      <c r="G284" s="55"/>
      <c r="H284" s="54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</row>
    <row r="285">
      <c r="A285" s="51"/>
      <c r="B285" s="51"/>
      <c r="C285" s="51"/>
      <c r="D285" s="51"/>
      <c r="E285" s="51"/>
      <c r="F285" s="54"/>
      <c r="G285" s="55"/>
      <c r="H285" s="54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</row>
    <row r="286">
      <c r="A286" s="51"/>
      <c r="B286" s="51"/>
      <c r="C286" s="51"/>
      <c r="D286" s="51"/>
      <c r="E286" s="51"/>
      <c r="F286" s="54"/>
      <c r="G286" s="55"/>
      <c r="H286" s="54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</row>
    <row r="287">
      <c r="A287" s="51"/>
      <c r="B287" s="51"/>
      <c r="C287" s="51"/>
      <c r="D287" s="51"/>
      <c r="E287" s="51"/>
      <c r="F287" s="54"/>
      <c r="G287" s="55"/>
      <c r="H287" s="54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</row>
    <row r="288">
      <c r="A288" s="51"/>
      <c r="B288" s="51"/>
      <c r="C288" s="51"/>
      <c r="D288" s="51"/>
      <c r="E288" s="51"/>
      <c r="F288" s="54"/>
      <c r="G288" s="55"/>
      <c r="H288" s="54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</row>
    <row r="289">
      <c r="A289" s="51"/>
      <c r="B289" s="51"/>
      <c r="C289" s="51"/>
      <c r="D289" s="51"/>
      <c r="E289" s="51"/>
      <c r="F289" s="54"/>
      <c r="G289" s="55"/>
      <c r="H289" s="54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</row>
    <row r="290">
      <c r="A290" s="51"/>
      <c r="B290" s="51"/>
      <c r="C290" s="51"/>
      <c r="D290" s="51"/>
      <c r="E290" s="51"/>
      <c r="F290" s="54"/>
      <c r="G290" s="55"/>
      <c r="H290" s="54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</row>
    <row r="291">
      <c r="A291" s="51"/>
      <c r="B291" s="51"/>
      <c r="C291" s="51"/>
      <c r="D291" s="51"/>
      <c r="E291" s="51"/>
      <c r="F291" s="54"/>
      <c r="G291" s="55"/>
      <c r="H291" s="54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</row>
    <row r="292">
      <c r="A292" s="51"/>
      <c r="B292" s="51"/>
      <c r="C292" s="51"/>
      <c r="D292" s="51"/>
      <c r="E292" s="51"/>
      <c r="F292" s="54"/>
      <c r="G292" s="55"/>
      <c r="H292" s="54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</row>
    <row r="293">
      <c r="A293" s="51"/>
      <c r="B293" s="51"/>
      <c r="C293" s="51"/>
      <c r="D293" s="51"/>
      <c r="E293" s="51"/>
      <c r="F293" s="54"/>
      <c r="G293" s="55"/>
      <c r="H293" s="54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</row>
    <row r="294">
      <c r="A294" s="51"/>
      <c r="B294" s="51"/>
      <c r="C294" s="51"/>
      <c r="D294" s="51"/>
      <c r="E294" s="51"/>
      <c r="F294" s="54"/>
      <c r="G294" s="55"/>
      <c r="H294" s="54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</row>
    <row r="295">
      <c r="A295" s="51"/>
      <c r="B295" s="51"/>
      <c r="C295" s="51"/>
      <c r="D295" s="51"/>
      <c r="E295" s="51"/>
      <c r="F295" s="54"/>
      <c r="G295" s="55"/>
      <c r="H295" s="54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</row>
    <row r="296">
      <c r="A296" s="51"/>
      <c r="B296" s="51"/>
      <c r="C296" s="51"/>
      <c r="D296" s="51"/>
      <c r="E296" s="51"/>
      <c r="F296" s="54"/>
      <c r="G296" s="55"/>
      <c r="H296" s="54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</row>
    <row r="297">
      <c r="A297" s="51"/>
      <c r="B297" s="51"/>
      <c r="C297" s="51"/>
      <c r="D297" s="51"/>
      <c r="E297" s="51"/>
      <c r="F297" s="54"/>
      <c r="G297" s="55"/>
      <c r="H297" s="54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</row>
    <row r="298">
      <c r="A298" s="51"/>
      <c r="B298" s="51"/>
      <c r="C298" s="51"/>
      <c r="D298" s="51"/>
      <c r="E298" s="51"/>
      <c r="F298" s="54"/>
      <c r="G298" s="55"/>
      <c r="H298" s="54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</row>
    <row r="299">
      <c r="A299" s="51"/>
      <c r="B299" s="51"/>
      <c r="C299" s="51"/>
      <c r="D299" s="51"/>
      <c r="E299" s="51"/>
      <c r="F299" s="54"/>
      <c r="G299" s="55"/>
      <c r="H299" s="54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</row>
    <row r="300">
      <c r="A300" s="51"/>
      <c r="B300" s="51"/>
      <c r="C300" s="51"/>
      <c r="D300" s="51"/>
      <c r="E300" s="51"/>
      <c r="F300" s="54"/>
      <c r="G300" s="55"/>
      <c r="H300" s="54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</row>
    <row r="301">
      <c r="A301" s="51"/>
      <c r="B301" s="51"/>
      <c r="C301" s="51"/>
      <c r="D301" s="51"/>
      <c r="E301" s="51"/>
      <c r="F301" s="54"/>
      <c r="G301" s="55"/>
      <c r="H301" s="54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</row>
    <row r="302">
      <c r="A302" s="51"/>
      <c r="B302" s="51"/>
      <c r="C302" s="51"/>
      <c r="D302" s="51"/>
      <c r="E302" s="51"/>
      <c r="F302" s="54"/>
      <c r="G302" s="55"/>
      <c r="H302" s="54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</row>
    <row r="303">
      <c r="A303" s="51"/>
      <c r="B303" s="51"/>
      <c r="C303" s="51"/>
      <c r="D303" s="51"/>
      <c r="E303" s="51"/>
      <c r="F303" s="54"/>
      <c r="G303" s="55"/>
      <c r="H303" s="54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</row>
    <row r="304">
      <c r="A304" s="51"/>
      <c r="B304" s="51"/>
      <c r="C304" s="51"/>
      <c r="D304" s="51"/>
      <c r="E304" s="51"/>
      <c r="F304" s="54"/>
      <c r="G304" s="55"/>
      <c r="H304" s="54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</row>
    <row r="305">
      <c r="A305" s="51"/>
      <c r="B305" s="51"/>
      <c r="C305" s="51"/>
      <c r="D305" s="51"/>
      <c r="E305" s="51"/>
      <c r="F305" s="54"/>
      <c r="G305" s="55"/>
      <c r="H305" s="54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</row>
    <row r="306">
      <c r="A306" s="51"/>
      <c r="B306" s="51"/>
      <c r="C306" s="51"/>
      <c r="D306" s="51"/>
      <c r="E306" s="51"/>
      <c r="F306" s="54"/>
      <c r="G306" s="55"/>
      <c r="H306" s="54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</row>
    <row r="307">
      <c r="A307" s="51"/>
      <c r="B307" s="51"/>
      <c r="C307" s="51"/>
      <c r="D307" s="51"/>
      <c r="E307" s="51"/>
      <c r="F307" s="54"/>
      <c r="G307" s="55"/>
      <c r="H307" s="54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</row>
    <row r="308">
      <c r="A308" s="51"/>
      <c r="B308" s="51"/>
      <c r="C308" s="51"/>
      <c r="D308" s="51"/>
      <c r="E308" s="51"/>
      <c r="F308" s="54"/>
      <c r="G308" s="55"/>
      <c r="H308" s="54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</row>
    <row r="309">
      <c r="A309" s="51"/>
      <c r="B309" s="51"/>
      <c r="C309" s="51"/>
      <c r="D309" s="51"/>
      <c r="E309" s="51"/>
      <c r="F309" s="54"/>
      <c r="G309" s="55"/>
      <c r="H309" s="54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</row>
    <row r="310">
      <c r="A310" s="51"/>
      <c r="B310" s="51"/>
      <c r="C310" s="51"/>
      <c r="D310" s="51"/>
      <c r="E310" s="51"/>
      <c r="F310" s="54"/>
      <c r="G310" s="55"/>
      <c r="H310" s="54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</row>
    <row r="311">
      <c r="A311" s="51"/>
      <c r="B311" s="51"/>
      <c r="C311" s="51"/>
      <c r="D311" s="51"/>
      <c r="E311" s="51"/>
      <c r="F311" s="54"/>
      <c r="G311" s="55"/>
      <c r="H311" s="54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</row>
    <row r="312">
      <c r="A312" s="51"/>
      <c r="B312" s="51"/>
      <c r="C312" s="51"/>
      <c r="D312" s="51"/>
      <c r="E312" s="51"/>
      <c r="F312" s="54"/>
      <c r="G312" s="55"/>
      <c r="H312" s="54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</row>
    <row r="313">
      <c r="A313" s="51"/>
      <c r="B313" s="51"/>
      <c r="C313" s="51"/>
      <c r="D313" s="51"/>
      <c r="E313" s="51"/>
      <c r="F313" s="54"/>
      <c r="G313" s="55"/>
      <c r="H313" s="54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</row>
    <row r="314">
      <c r="A314" s="51"/>
      <c r="B314" s="51"/>
      <c r="C314" s="51"/>
      <c r="D314" s="51"/>
      <c r="E314" s="51"/>
      <c r="F314" s="54"/>
      <c r="G314" s="55"/>
      <c r="H314" s="54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</row>
    <row r="315">
      <c r="A315" s="51"/>
      <c r="B315" s="51"/>
      <c r="C315" s="51"/>
      <c r="D315" s="51"/>
      <c r="E315" s="51"/>
      <c r="F315" s="54"/>
      <c r="G315" s="55"/>
      <c r="H315" s="54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</row>
    <row r="316">
      <c r="A316" s="51"/>
      <c r="B316" s="51"/>
      <c r="C316" s="51"/>
      <c r="D316" s="51"/>
      <c r="E316" s="51"/>
      <c r="F316" s="54"/>
      <c r="G316" s="55"/>
      <c r="H316" s="54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</row>
    <row r="317">
      <c r="A317" s="51"/>
      <c r="B317" s="51"/>
      <c r="C317" s="51"/>
      <c r="D317" s="51"/>
      <c r="E317" s="51"/>
      <c r="F317" s="54"/>
      <c r="G317" s="55"/>
      <c r="H317" s="54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</row>
    <row r="318">
      <c r="A318" s="51"/>
      <c r="B318" s="51"/>
      <c r="C318" s="51"/>
      <c r="D318" s="51"/>
      <c r="E318" s="51"/>
      <c r="F318" s="54"/>
      <c r="G318" s="55"/>
      <c r="H318" s="54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</row>
    <row r="319">
      <c r="A319" s="51"/>
      <c r="B319" s="51"/>
      <c r="C319" s="51"/>
      <c r="D319" s="51"/>
      <c r="E319" s="51"/>
      <c r="F319" s="54"/>
      <c r="G319" s="55"/>
      <c r="H319" s="54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</row>
    <row r="320">
      <c r="A320" s="51"/>
      <c r="B320" s="51"/>
      <c r="C320" s="51"/>
      <c r="D320" s="51"/>
      <c r="E320" s="51"/>
      <c r="F320" s="54"/>
      <c r="G320" s="55"/>
      <c r="H320" s="54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</row>
    <row r="321">
      <c r="A321" s="51"/>
      <c r="B321" s="51"/>
      <c r="C321" s="51"/>
      <c r="D321" s="51"/>
      <c r="E321" s="51"/>
      <c r="F321" s="54"/>
      <c r="G321" s="55"/>
      <c r="H321" s="54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</row>
    <row r="322">
      <c r="A322" s="51"/>
      <c r="B322" s="51"/>
      <c r="C322" s="51"/>
      <c r="D322" s="51"/>
      <c r="E322" s="51"/>
      <c r="F322" s="54"/>
      <c r="G322" s="55"/>
      <c r="H322" s="54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</row>
    <row r="323">
      <c r="A323" s="51"/>
      <c r="B323" s="51"/>
      <c r="C323" s="51"/>
      <c r="D323" s="51"/>
      <c r="E323" s="51"/>
      <c r="F323" s="54"/>
      <c r="G323" s="55"/>
      <c r="H323" s="54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</row>
    <row r="324">
      <c r="A324" s="51"/>
      <c r="B324" s="51"/>
      <c r="C324" s="51"/>
      <c r="D324" s="51"/>
      <c r="E324" s="51"/>
      <c r="F324" s="54"/>
      <c r="G324" s="55"/>
      <c r="H324" s="54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</row>
    <row r="325">
      <c r="A325" s="51"/>
      <c r="B325" s="51"/>
      <c r="C325" s="51"/>
      <c r="D325" s="51"/>
      <c r="E325" s="51"/>
      <c r="F325" s="54"/>
      <c r="G325" s="55"/>
      <c r="H325" s="54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</row>
    <row r="326">
      <c r="A326" s="51"/>
      <c r="B326" s="51"/>
      <c r="C326" s="51"/>
      <c r="D326" s="51"/>
      <c r="E326" s="51"/>
      <c r="F326" s="54"/>
      <c r="G326" s="55"/>
      <c r="H326" s="54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</row>
    <row r="327">
      <c r="A327" s="51"/>
      <c r="B327" s="51"/>
      <c r="C327" s="51"/>
      <c r="D327" s="51"/>
      <c r="E327" s="51"/>
      <c r="F327" s="54"/>
      <c r="G327" s="55"/>
      <c r="H327" s="54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</row>
    <row r="328">
      <c r="A328" s="51"/>
      <c r="B328" s="51"/>
      <c r="C328" s="51"/>
      <c r="D328" s="51"/>
      <c r="E328" s="51"/>
      <c r="F328" s="54"/>
      <c r="G328" s="55"/>
      <c r="H328" s="54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</row>
    <row r="329">
      <c r="A329" s="51"/>
      <c r="B329" s="51"/>
      <c r="C329" s="51"/>
      <c r="D329" s="51"/>
      <c r="E329" s="51"/>
      <c r="F329" s="54"/>
      <c r="G329" s="55"/>
      <c r="H329" s="54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</row>
    <row r="330">
      <c r="A330" s="51"/>
      <c r="B330" s="51"/>
      <c r="C330" s="51"/>
      <c r="D330" s="51"/>
      <c r="E330" s="51"/>
      <c r="F330" s="54"/>
      <c r="G330" s="55"/>
      <c r="H330" s="54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</row>
    <row r="331">
      <c r="A331" s="51"/>
      <c r="B331" s="51"/>
      <c r="C331" s="51"/>
      <c r="D331" s="51"/>
      <c r="E331" s="51"/>
      <c r="F331" s="54"/>
      <c r="G331" s="55"/>
      <c r="H331" s="54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</row>
    <row r="332">
      <c r="A332" s="51"/>
      <c r="B332" s="51"/>
      <c r="C332" s="51"/>
      <c r="D332" s="51"/>
      <c r="E332" s="51"/>
      <c r="F332" s="54"/>
      <c r="G332" s="55"/>
      <c r="H332" s="54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</row>
    <row r="333">
      <c r="A333" s="51"/>
      <c r="B333" s="51"/>
      <c r="C333" s="51"/>
      <c r="D333" s="51"/>
      <c r="E333" s="51"/>
      <c r="F333" s="54"/>
      <c r="G333" s="55"/>
      <c r="H333" s="54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</row>
    <row r="334">
      <c r="A334" s="51"/>
      <c r="B334" s="51"/>
      <c r="C334" s="51"/>
      <c r="D334" s="51"/>
      <c r="E334" s="51"/>
      <c r="F334" s="54"/>
      <c r="G334" s="55"/>
      <c r="H334" s="54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</row>
    <row r="335">
      <c r="A335" s="51"/>
      <c r="B335" s="51"/>
      <c r="C335" s="51"/>
      <c r="D335" s="51"/>
      <c r="E335" s="51"/>
      <c r="F335" s="54"/>
      <c r="G335" s="55"/>
      <c r="H335" s="54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</row>
    <row r="336">
      <c r="A336" s="51"/>
      <c r="B336" s="51"/>
      <c r="C336" s="51"/>
      <c r="D336" s="51"/>
      <c r="E336" s="51"/>
      <c r="F336" s="54"/>
      <c r="G336" s="55"/>
      <c r="H336" s="54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</row>
    <row r="337">
      <c r="A337" s="51"/>
      <c r="B337" s="51"/>
      <c r="C337" s="51"/>
      <c r="D337" s="51"/>
      <c r="E337" s="51"/>
      <c r="F337" s="54"/>
      <c r="G337" s="55"/>
      <c r="H337" s="54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</row>
    <row r="338">
      <c r="A338" s="51"/>
      <c r="B338" s="51"/>
      <c r="C338" s="51"/>
      <c r="D338" s="51"/>
      <c r="E338" s="51"/>
      <c r="F338" s="54"/>
      <c r="G338" s="55"/>
      <c r="H338" s="54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</row>
    <row r="339">
      <c r="A339" s="51"/>
      <c r="B339" s="51"/>
      <c r="C339" s="51"/>
      <c r="D339" s="51"/>
      <c r="E339" s="51"/>
      <c r="F339" s="54"/>
      <c r="G339" s="55"/>
      <c r="H339" s="54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</row>
    <row r="340">
      <c r="A340" s="51"/>
      <c r="B340" s="51"/>
      <c r="C340" s="51"/>
      <c r="D340" s="51"/>
      <c r="E340" s="51"/>
      <c r="F340" s="54"/>
      <c r="G340" s="55"/>
      <c r="H340" s="54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</row>
    <row r="341">
      <c r="A341" s="51"/>
      <c r="B341" s="51"/>
      <c r="C341" s="51"/>
      <c r="D341" s="51"/>
      <c r="E341" s="51"/>
      <c r="F341" s="54"/>
      <c r="G341" s="55"/>
      <c r="H341" s="54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</row>
    <row r="342">
      <c r="A342" s="51"/>
      <c r="B342" s="51"/>
      <c r="C342" s="51"/>
      <c r="D342" s="51"/>
      <c r="E342" s="51"/>
      <c r="F342" s="54"/>
      <c r="G342" s="55"/>
      <c r="H342" s="54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</row>
    <row r="343">
      <c r="A343" s="51"/>
      <c r="B343" s="51"/>
      <c r="C343" s="51"/>
      <c r="D343" s="51"/>
      <c r="E343" s="51"/>
      <c r="F343" s="54"/>
      <c r="G343" s="55"/>
      <c r="H343" s="54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</row>
    <row r="344">
      <c r="A344" s="51"/>
      <c r="B344" s="51"/>
      <c r="C344" s="51"/>
      <c r="D344" s="51"/>
      <c r="E344" s="51"/>
      <c r="F344" s="54"/>
      <c r="G344" s="55"/>
      <c r="H344" s="54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</row>
    <row r="345">
      <c r="A345" s="51"/>
      <c r="B345" s="51"/>
      <c r="C345" s="51"/>
      <c r="D345" s="51"/>
      <c r="E345" s="51"/>
      <c r="F345" s="54"/>
      <c r="G345" s="55"/>
      <c r="H345" s="54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</row>
    <row r="346">
      <c r="A346" s="51"/>
      <c r="B346" s="51"/>
      <c r="C346" s="51"/>
      <c r="D346" s="51"/>
      <c r="E346" s="51"/>
      <c r="F346" s="54"/>
      <c r="G346" s="55"/>
      <c r="H346" s="54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</row>
    <row r="347">
      <c r="A347" s="51"/>
      <c r="B347" s="51"/>
      <c r="C347" s="51"/>
      <c r="D347" s="51"/>
      <c r="E347" s="51"/>
      <c r="F347" s="54"/>
      <c r="G347" s="55"/>
      <c r="H347" s="54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</row>
    <row r="348">
      <c r="A348" s="51"/>
      <c r="B348" s="51"/>
      <c r="C348" s="51"/>
      <c r="D348" s="51"/>
      <c r="E348" s="51"/>
      <c r="F348" s="54"/>
      <c r="G348" s="55"/>
      <c r="H348" s="54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</row>
    <row r="349">
      <c r="A349" s="51"/>
      <c r="B349" s="51"/>
      <c r="C349" s="51"/>
      <c r="D349" s="51"/>
      <c r="E349" s="51"/>
      <c r="F349" s="54"/>
      <c r="G349" s="55"/>
      <c r="H349" s="54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</row>
    <row r="350">
      <c r="A350" s="51"/>
      <c r="B350" s="51"/>
      <c r="C350" s="51"/>
      <c r="D350" s="51"/>
      <c r="E350" s="51"/>
      <c r="F350" s="54"/>
      <c r="G350" s="55"/>
      <c r="H350" s="54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</row>
    <row r="351">
      <c r="A351" s="51"/>
      <c r="B351" s="51"/>
      <c r="C351" s="51"/>
      <c r="D351" s="51"/>
      <c r="E351" s="51"/>
      <c r="F351" s="54"/>
      <c r="G351" s="55"/>
      <c r="H351" s="54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</row>
    <row r="352">
      <c r="A352" s="51"/>
      <c r="B352" s="51"/>
      <c r="C352" s="51"/>
      <c r="D352" s="51"/>
      <c r="E352" s="51"/>
      <c r="F352" s="54"/>
      <c r="G352" s="55"/>
      <c r="H352" s="54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</row>
    <row r="353">
      <c r="A353" s="51"/>
      <c r="B353" s="51"/>
      <c r="C353" s="51"/>
      <c r="D353" s="51"/>
      <c r="E353" s="51"/>
      <c r="F353" s="54"/>
      <c r="G353" s="55"/>
      <c r="H353" s="54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</row>
    <row r="354">
      <c r="A354" s="51"/>
      <c r="B354" s="51"/>
      <c r="C354" s="51"/>
      <c r="D354" s="51"/>
      <c r="E354" s="51"/>
      <c r="F354" s="54"/>
      <c r="G354" s="55"/>
      <c r="H354" s="54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</row>
    <row r="355">
      <c r="A355" s="51"/>
      <c r="B355" s="51"/>
      <c r="C355" s="51"/>
      <c r="D355" s="51"/>
      <c r="E355" s="51"/>
      <c r="F355" s="54"/>
      <c r="G355" s="55"/>
      <c r="H355" s="54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</row>
    <row r="356">
      <c r="A356" s="51"/>
      <c r="B356" s="51"/>
      <c r="C356" s="51"/>
      <c r="D356" s="51"/>
      <c r="E356" s="51"/>
      <c r="F356" s="54"/>
      <c r="G356" s="55"/>
      <c r="H356" s="54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</row>
    <row r="357">
      <c r="A357" s="51"/>
      <c r="B357" s="51"/>
      <c r="C357" s="51"/>
      <c r="D357" s="51"/>
      <c r="E357" s="51"/>
      <c r="F357" s="54"/>
      <c r="G357" s="55"/>
      <c r="H357" s="54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</row>
    <row r="358">
      <c r="A358" s="51"/>
      <c r="B358" s="51"/>
      <c r="C358" s="51"/>
      <c r="D358" s="51"/>
      <c r="E358" s="51"/>
      <c r="F358" s="54"/>
      <c r="G358" s="55"/>
      <c r="H358" s="54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</row>
    <row r="359">
      <c r="A359" s="51"/>
      <c r="B359" s="51"/>
      <c r="C359" s="51"/>
      <c r="D359" s="51"/>
      <c r="E359" s="51"/>
      <c r="F359" s="54"/>
      <c r="G359" s="55"/>
      <c r="H359" s="54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</row>
    <row r="360">
      <c r="A360" s="51"/>
      <c r="B360" s="51"/>
      <c r="C360" s="51"/>
      <c r="D360" s="51"/>
      <c r="E360" s="51"/>
      <c r="F360" s="54"/>
      <c r="G360" s="55"/>
      <c r="H360" s="54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</row>
    <row r="361">
      <c r="A361" s="51"/>
      <c r="B361" s="51"/>
      <c r="C361" s="51"/>
      <c r="D361" s="51"/>
      <c r="E361" s="51"/>
      <c r="F361" s="54"/>
      <c r="G361" s="55"/>
      <c r="H361" s="54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</row>
    <row r="362">
      <c r="A362" s="51"/>
      <c r="B362" s="51"/>
      <c r="C362" s="51"/>
      <c r="D362" s="51"/>
      <c r="E362" s="51"/>
      <c r="F362" s="54"/>
      <c r="G362" s="55"/>
      <c r="H362" s="54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</row>
    <row r="363">
      <c r="A363" s="51"/>
      <c r="B363" s="51"/>
      <c r="C363" s="51"/>
      <c r="D363" s="51"/>
      <c r="E363" s="51"/>
      <c r="F363" s="54"/>
      <c r="G363" s="55"/>
      <c r="H363" s="54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</row>
    <row r="364">
      <c r="A364" s="51"/>
      <c r="B364" s="51"/>
      <c r="C364" s="51"/>
      <c r="D364" s="51"/>
      <c r="E364" s="51"/>
      <c r="F364" s="54"/>
      <c r="G364" s="55"/>
      <c r="H364" s="54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</row>
    <row r="365">
      <c r="A365" s="51"/>
      <c r="B365" s="51"/>
      <c r="C365" s="51"/>
      <c r="D365" s="51"/>
      <c r="E365" s="51"/>
      <c r="F365" s="54"/>
      <c r="G365" s="55"/>
      <c r="H365" s="54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</row>
    <row r="366">
      <c r="A366" s="51"/>
      <c r="B366" s="51"/>
      <c r="C366" s="51"/>
      <c r="D366" s="51"/>
      <c r="E366" s="51"/>
      <c r="F366" s="54"/>
      <c r="G366" s="55"/>
      <c r="H366" s="54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</row>
    <row r="367">
      <c r="A367" s="51"/>
      <c r="B367" s="51"/>
      <c r="C367" s="51"/>
      <c r="D367" s="51"/>
      <c r="E367" s="51"/>
      <c r="F367" s="54"/>
      <c r="G367" s="55"/>
      <c r="H367" s="54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</row>
    <row r="368">
      <c r="A368" s="51"/>
      <c r="B368" s="51"/>
      <c r="C368" s="51"/>
      <c r="D368" s="51"/>
      <c r="E368" s="51"/>
      <c r="F368" s="54"/>
      <c r="G368" s="55"/>
      <c r="H368" s="54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</row>
    <row r="369">
      <c r="A369" s="51"/>
      <c r="B369" s="51"/>
      <c r="C369" s="51"/>
      <c r="D369" s="51"/>
      <c r="E369" s="51"/>
      <c r="F369" s="54"/>
      <c r="G369" s="55"/>
      <c r="H369" s="54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</row>
    <row r="370">
      <c r="A370" s="51"/>
      <c r="B370" s="51"/>
      <c r="C370" s="51"/>
      <c r="D370" s="51"/>
      <c r="E370" s="51"/>
      <c r="F370" s="54"/>
      <c r="G370" s="55"/>
      <c r="H370" s="54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</row>
    <row r="371">
      <c r="A371" s="51"/>
      <c r="B371" s="51"/>
      <c r="C371" s="51"/>
      <c r="D371" s="51"/>
      <c r="E371" s="51"/>
      <c r="F371" s="54"/>
      <c r="G371" s="55"/>
      <c r="H371" s="54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</row>
    <row r="372">
      <c r="A372" s="51"/>
      <c r="B372" s="51"/>
      <c r="C372" s="51"/>
      <c r="D372" s="51"/>
      <c r="E372" s="51"/>
      <c r="F372" s="54"/>
      <c r="G372" s="55"/>
      <c r="H372" s="54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</row>
    <row r="373">
      <c r="A373" s="51"/>
      <c r="B373" s="51"/>
      <c r="C373" s="51"/>
      <c r="D373" s="51"/>
      <c r="E373" s="51"/>
      <c r="F373" s="54"/>
      <c r="G373" s="55"/>
      <c r="H373" s="54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</row>
    <row r="374">
      <c r="A374" s="51"/>
      <c r="B374" s="51"/>
      <c r="C374" s="51"/>
      <c r="D374" s="51"/>
      <c r="E374" s="51"/>
      <c r="F374" s="54"/>
      <c r="G374" s="55"/>
      <c r="H374" s="54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</row>
    <row r="375">
      <c r="A375" s="51"/>
      <c r="B375" s="51"/>
      <c r="C375" s="51"/>
      <c r="D375" s="51"/>
      <c r="E375" s="51"/>
      <c r="F375" s="54"/>
      <c r="G375" s="55"/>
      <c r="H375" s="54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</row>
    <row r="376">
      <c r="A376" s="51"/>
      <c r="B376" s="51"/>
      <c r="C376" s="51"/>
      <c r="D376" s="51"/>
      <c r="E376" s="51"/>
      <c r="F376" s="54"/>
      <c r="G376" s="55"/>
      <c r="H376" s="54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</row>
    <row r="377">
      <c r="A377" s="51"/>
      <c r="B377" s="51"/>
      <c r="C377" s="51"/>
      <c r="D377" s="51"/>
      <c r="E377" s="51"/>
      <c r="F377" s="54"/>
      <c r="G377" s="55"/>
      <c r="H377" s="54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</row>
    <row r="378">
      <c r="A378" s="51"/>
      <c r="B378" s="51"/>
      <c r="C378" s="51"/>
      <c r="D378" s="51"/>
      <c r="E378" s="51"/>
      <c r="F378" s="54"/>
      <c r="G378" s="55"/>
      <c r="H378" s="54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</row>
    <row r="379">
      <c r="A379" s="51"/>
      <c r="B379" s="51"/>
      <c r="C379" s="51"/>
      <c r="D379" s="51"/>
      <c r="E379" s="51"/>
      <c r="F379" s="54"/>
      <c r="G379" s="55"/>
      <c r="H379" s="54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</row>
    <row r="380">
      <c r="A380" s="51"/>
      <c r="B380" s="51"/>
      <c r="C380" s="51"/>
      <c r="D380" s="51"/>
      <c r="E380" s="51"/>
      <c r="F380" s="54"/>
      <c r="G380" s="55"/>
      <c r="H380" s="54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</row>
    <row r="381">
      <c r="A381" s="51"/>
      <c r="B381" s="51"/>
      <c r="C381" s="51"/>
      <c r="D381" s="51"/>
      <c r="E381" s="51"/>
      <c r="F381" s="54"/>
      <c r="G381" s="55"/>
      <c r="H381" s="54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</row>
    <row r="382">
      <c r="A382" s="51"/>
      <c r="B382" s="51"/>
      <c r="C382" s="51"/>
      <c r="D382" s="51"/>
      <c r="E382" s="51"/>
      <c r="F382" s="54"/>
      <c r="G382" s="55"/>
      <c r="H382" s="54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</row>
    <row r="383">
      <c r="A383" s="51"/>
      <c r="B383" s="51"/>
      <c r="C383" s="51"/>
      <c r="D383" s="51"/>
      <c r="E383" s="51"/>
      <c r="F383" s="54"/>
      <c r="G383" s="55"/>
      <c r="H383" s="54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</row>
    <row r="384">
      <c r="A384" s="51"/>
      <c r="B384" s="51"/>
      <c r="C384" s="51"/>
      <c r="D384" s="51"/>
      <c r="E384" s="51"/>
      <c r="F384" s="54"/>
      <c r="G384" s="55"/>
      <c r="H384" s="54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</row>
    <row r="385">
      <c r="A385" s="51"/>
      <c r="B385" s="51"/>
      <c r="C385" s="51"/>
      <c r="D385" s="51"/>
      <c r="E385" s="51"/>
      <c r="F385" s="54"/>
      <c r="G385" s="55"/>
      <c r="H385" s="54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</row>
    <row r="386">
      <c r="A386" s="51"/>
      <c r="B386" s="51"/>
      <c r="C386" s="51"/>
      <c r="D386" s="51"/>
      <c r="E386" s="51"/>
      <c r="F386" s="54"/>
      <c r="G386" s="55"/>
      <c r="H386" s="54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</row>
    <row r="387">
      <c r="A387" s="51"/>
      <c r="B387" s="51"/>
      <c r="C387" s="51"/>
      <c r="D387" s="51"/>
      <c r="E387" s="51"/>
      <c r="F387" s="54"/>
      <c r="G387" s="55"/>
      <c r="H387" s="54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</row>
    <row r="388">
      <c r="A388" s="51"/>
      <c r="B388" s="51"/>
      <c r="C388" s="51"/>
      <c r="D388" s="51"/>
      <c r="E388" s="51"/>
      <c r="F388" s="54"/>
      <c r="G388" s="55"/>
      <c r="H388" s="54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</row>
    <row r="389">
      <c r="A389" s="51"/>
      <c r="B389" s="51"/>
      <c r="C389" s="51"/>
      <c r="D389" s="51"/>
      <c r="E389" s="51"/>
      <c r="F389" s="54"/>
      <c r="G389" s="55"/>
      <c r="H389" s="54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</row>
    <row r="390">
      <c r="A390" s="51"/>
      <c r="B390" s="51"/>
      <c r="C390" s="51"/>
      <c r="D390" s="51"/>
      <c r="E390" s="51"/>
      <c r="F390" s="54"/>
      <c r="G390" s="55"/>
      <c r="H390" s="54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</row>
    <row r="391">
      <c r="A391" s="51"/>
      <c r="B391" s="51"/>
      <c r="C391" s="51"/>
      <c r="D391" s="51"/>
      <c r="E391" s="51"/>
      <c r="F391" s="54"/>
      <c r="G391" s="55"/>
      <c r="H391" s="54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</row>
    <row r="392">
      <c r="A392" s="51"/>
      <c r="B392" s="51"/>
      <c r="C392" s="51"/>
      <c r="D392" s="51"/>
      <c r="E392" s="51"/>
      <c r="F392" s="54"/>
      <c r="G392" s="55"/>
      <c r="H392" s="54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</row>
    <row r="393">
      <c r="A393" s="51"/>
      <c r="B393" s="51"/>
      <c r="C393" s="51"/>
      <c r="D393" s="51"/>
      <c r="E393" s="51"/>
      <c r="F393" s="54"/>
      <c r="G393" s="55"/>
      <c r="H393" s="54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</row>
    <row r="394">
      <c r="A394" s="51"/>
      <c r="B394" s="51"/>
      <c r="C394" s="51"/>
      <c r="D394" s="51"/>
      <c r="E394" s="51"/>
      <c r="F394" s="54"/>
      <c r="G394" s="55"/>
      <c r="H394" s="54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</row>
    <row r="395">
      <c r="A395" s="51"/>
      <c r="B395" s="51"/>
      <c r="C395" s="51"/>
      <c r="D395" s="51"/>
      <c r="E395" s="51"/>
      <c r="F395" s="54"/>
      <c r="G395" s="55"/>
      <c r="H395" s="54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</row>
    <row r="396">
      <c r="A396" s="51"/>
      <c r="B396" s="51"/>
      <c r="C396" s="51"/>
      <c r="D396" s="51"/>
      <c r="E396" s="51"/>
      <c r="F396" s="54"/>
      <c r="G396" s="55"/>
      <c r="H396" s="54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</row>
    <row r="397">
      <c r="A397" s="51"/>
      <c r="B397" s="51"/>
      <c r="C397" s="51"/>
      <c r="D397" s="51"/>
      <c r="E397" s="51"/>
      <c r="F397" s="54"/>
      <c r="G397" s="55"/>
      <c r="H397" s="54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</row>
    <row r="398">
      <c r="A398" s="51"/>
      <c r="B398" s="51"/>
      <c r="C398" s="51"/>
      <c r="D398" s="51"/>
      <c r="E398" s="51"/>
      <c r="F398" s="54"/>
      <c r="G398" s="55"/>
      <c r="H398" s="54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</row>
    <row r="399">
      <c r="A399" s="51"/>
      <c r="B399" s="51"/>
      <c r="C399" s="51"/>
      <c r="D399" s="51"/>
      <c r="E399" s="51"/>
      <c r="F399" s="54"/>
      <c r="G399" s="55"/>
      <c r="H399" s="54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</row>
    <row r="400">
      <c r="A400" s="51"/>
      <c r="B400" s="51"/>
      <c r="C400" s="51"/>
      <c r="D400" s="51"/>
      <c r="E400" s="51"/>
      <c r="F400" s="54"/>
      <c r="G400" s="55"/>
      <c r="H400" s="54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</row>
    <row r="401">
      <c r="A401" s="51"/>
      <c r="B401" s="51"/>
      <c r="C401" s="51"/>
      <c r="D401" s="51"/>
      <c r="E401" s="51"/>
      <c r="F401" s="54"/>
      <c r="G401" s="55"/>
      <c r="H401" s="54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</row>
    <row r="402">
      <c r="A402" s="51"/>
      <c r="B402" s="51"/>
      <c r="C402" s="51"/>
      <c r="D402" s="51"/>
      <c r="E402" s="51"/>
      <c r="F402" s="54"/>
      <c r="G402" s="55"/>
      <c r="H402" s="54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</row>
    <row r="403">
      <c r="A403" s="51"/>
      <c r="B403" s="51"/>
      <c r="C403" s="51"/>
      <c r="D403" s="51"/>
      <c r="E403" s="51"/>
      <c r="F403" s="54"/>
      <c r="G403" s="55"/>
      <c r="H403" s="54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</row>
    <row r="404">
      <c r="A404" s="51"/>
      <c r="B404" s="51"/>
      <c r="C404" s="51"/>
      <c r="D404" s="51"/>
      <c r="E404" s="51"/>
      <c r="F404" s="54"/>
      <c r="G404" s="55"/>
      <c r="H404" s="54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</row>
    <row r="405">
      <c r="A405" s="51"/>
      <c r="B405" s="51"/>
      <c r="C405" s="51"/>
      <c r="D405" s="51"/>
      <c r="E405" s="51"/>
      <c r="F405" s="54"/>
      <c r="G405" s="55"/>
      <c r="H405" s="54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</row>
    <row r="406">
      <c r="A406" s="51"/>
      <c r="B406" s="51"/>
      <c r="C406" s="51"/>
      <c r="D406" s="51"/>
      <c r="E406" s="51"/>
      <c r="F406" s="54"/>
      <c r="G406" s="55"/>
      <c r="H406" s="54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</row>
    <row r="407">
      <c r="A407" s="51"/>
      <c r="B407" s="51"/>
      <c r="C407" s="51"/>
      <c r="D407" s="51"/>
      <c r="E407" s="51"/>
      <c r="F407" s="54"/>
      <c r="G407" s="55"/>
      <c r="H407" s="54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</row>
    <row r="408">
      <c r="A408" s="51"/>
      <c r="B408" s="51"/>
      <c r="C408" s="51"/>
      <c r="D408" s="51"/>
      <c r="E408" s="51"/>
      <c r="F408" s="54"/>
      <c r="G408" s="55"/>
      <c r="H408" s="54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</row>
    <row r="409">
      <c r="A409" s="51"/>
      <c r="B409" s="51"/>
      <c r="C409" s="51"/>
      <c r="D409" s="51"/>
      <c r="E409" s="51"/>
      <c r="F409" s="54"/>
      <c r="G409" s="55"/>
      <c r="H409" s="54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</row>
    <row r="410">
      <c r="A410" s="51"/>
      <c r="B410" s="51"/>
      <c r="C410" s="51"/>
      <c r="D410" s="51"/>
      <c r="E410" s="51"/>
      <c r="F410" s="54"/>
      <c r="G410" s="55"/>
      <c r="H410" s="54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</row>
    <row r="411">
      <c r="A411" s="51"/>
      <c r="B411" s="51"/>
      <c r="C411" s="51"/>
      <c r="D411" s="51"/>
      <c r="E411" s="51"/>
      <c r="F411" s="54"/>
      <c r="G411" s="55"/>
      <c r="H411" s="54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</row>
    <row r="412">
      <c r="A412" s="51"/>
      <c r="B412" s="51"/>
      <c r="C412" s="51"/>
      <c r="D412" s="51"/>
      <c r="E412" s="51"/>
      <c r="F412" s="54"/>
      <c r="G412" s="55"/>
      <c r="H412" s="54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</row>
    <row r="413">
      <c r="A413" s="51"/>
      <c r="B413" s="51"/>
      <c r="C413" s="51"/>
      <c r="D413" s="51"/>
      <c r="E413" s="51"/>
      <c r="F413" s="54"/>
      <c r="G413" s="55"/>
      <c r="H413" s="54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</row>
    <row r="414">
      <c r="A414" s="51"/>
      <c r="B414" s="51"/>
      <c r="C414" s="51"/>
      <c r="D414" s="51"/>
      <c r="E414" s="51"/>
      <c r="F414" s="54"/>
      <c r="G414" s="55"/>
      <c r="H414" s="54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</row>
    <row r="415">
      <c r="A415" s="51"/>
      <c r="B415" s="51"/>
      <c r="C415" s="51"/>
      <c r="D415" s="51"/>
      <c r="E415" s="51"/>
      <c r="F415" s="54"/>
      <c r="G415" s="55"/>
      <c r="H415" s="54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</row>
    <row r="416">
      <c r="A416" s="51"/>
      <c r="B416" s="51"/>
      <c r="C416" s="51"/>
      <c r="D416" s="51"/>
      <c r="E416" s="51"/>
      <c r="F416" s="54"/>
      <c r="G416" s="55"/>
      <c r="H416" s="54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</row>
    <row r="417">
      <c r="A417" s="51"/>
      <c r="B417" s="51"/>
      <c r="C417" s="51"/>
      <c r="D417" s="51"/>
      <c r="E417" s="51"/>
      <c r="F417" s="54"/>
      <c r="G417" s="55"/>
      <c r="H417" s="54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</row>
    <row r="418">
      <c r="A418" s="51"/>
      <c r="B418" s="51"/>
      <c r="C418" s="51"/>
      <c r="D418" s="51"/>
      <c r="E418" s="51"/>
      <c r="F418" s="54"/>
      <c r="G418" s="55"/>
      <c r="H418" s="54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</row>
    <row r="419">
      <c r="A419" s="51"/>
      <c r="B419" s="51"/>
      <c r="C419" s="51"/>
      <c r="D419" s="51"/>
      <c r="E419" s="51"/>
      <c r="F419" s="54"/>
      <c r="G419" s="55"/>
      <c r="H419" s="54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</row>
    <row r="420">
      <c r="A420" s="51"/>
      <c r="B420" s="51"/>
      <c r="C420" s="51"/>
      <c r="D420" s="51"/>
      <c r="E420" s="51"/>
      <c r="F420" s="54"/>
      <c r="G420" s="55"/>
      <c r="H420" s="54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</row>
    <row r="421">
      <c r="A421" s="51"/>
      <c r="B421" s="51"/>
      <c r="C421" s="51"/>
      <c r="D421" s="51"/>
      <c r="E421" s="51"/>
      <c r="F421" s="54"/>
      <c r="G421" s="55"/>
      <c r="H421" s="54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</row>
    <row r="422">
      <c r="A422" s="51"/>
      <c r="B422" s="51"/>
      <c r="C422" s="51"/>
      <c r="D422" s="51"/>
      <c r="E422" s="51"/>
      <c r="F422" s="54"/>
      <c r="G422" s="55"/>
      <c r="H422" s="54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</row>
    <row r="423">
      <c r="A423" s="51"/>
      <c r="B423" s="51"/>
      <c r="C423" s="51"/>
      <c r="D423" s="51"/>
      <c r="E423" s="51"/>
      <c r="F423" s="54"/>
      <c r="G423" s="55"/>
      <c r="H423" s="54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</row>
    <row r="424">
      <c r="A424" s="51"/>
      <c r="B424" s="51"/>
      <c r="C424" s="51"/>
      <c r="D424" s="51"/>
      <c r="E424" s="51"/>
      <c r="F424" s="54"/>
      <c r="G424" s="55"/>
      <c r="H424" s="54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</row>
    <row r="425">
      <c r="A425" s="51"/>
      <c r="B425" s="51"/>
      <c r="C425" s="51"/>
      <c r="D425" s="51"/>
      <c r="E425" s="51"/>
      <c r="F425" s="54"/>
      <c r="G425" s="55"/>
      <c r="H425" s="54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</row>
    <row r="426">
      <c r="A426" s="51"/>
      <c r="B426" s="51"/>
      <c r="C426" s="51"/>
      <c r="D426" s="51"/>
      <c r="E426" s="51"/>
      <c r="F426" s="54"/>
      <c r="G426" s="55"/>
      <c r="H426" s="54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</row>
    <row r="427">
      <c r="A427" s="51"/>
      <c r="B427" s="51"/>
      <c r="C427" s="51"/>
      <c r="D427" s="51"/>
      <c r="E427" s="51"/>
      <c r="F427" s="54"/>
      <c r="G427" s="55"/>
      <c r="H427" s="54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</row>
    <row r="428">
      <c r="A428" s="51"/>
      <c r="B428" s="51"/>
      <c r="C428" s="51"/>
      <c r="D428" s="51"/>
      <c r="E428" s="51"/>
      <c r="F428" s="54"/>
      <c r="G428" s="55"/>
      <c r="H428" s="54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</row>
    <row r="429">
      <c r="A429" s="51"/>
      <c r="B429" s="51"/>
      <c r="C429" s="51"/>
      <c r="D429" s="51"/>
      <c r="E429" s="51"/>
      <c r="F429" s="54"/>
      <c r="G429" s="55"/>
      <c r="H429" s="54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</row>
    <row r="430">
      <c r="A430" s="51"/>
      <c r="B430" s="51"/>
      <c r="C430" s="51"/>
      <c r="D430" s="51"/>
      <c r="E430" s="51"/>
      <c r="F430" s="54"/>
      <c r="G430" s="55"/>
      <c r="H430" s="54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</row>
    <row r="431">
      <c r="A431" s="51"/>
      <c r="B431" s="51"/>
      <c r="C431" s="51"/>
      <c r="D431" s="51"/>
      <c r="E431" s="51"/>
      <c r="F431" s="54"/>
      <c r="G431" s="55"/>
      <c r="H431" s="54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</row>
    <row r="432">
      <c r="A432" s="51"/>
      <c r="B432" s="51"/>
      <c r="C432" s="51"/>
      <c r="D432" s="51"/>
      <c r="E432" s="51"/>
      <c r="F432" s="54"/>
      <c r="G432" s="55"/>
      <c r="H432" s="54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</row>
    <row r="433">
      <c r="A433" s="51"/>
      <c r="B433" s="51"/>
      <c r="C433" s="51"/>
      <c r="D433" s="51"/>
      <c r="E433" s="51"/>
      <c r="F433" s="54"/>
      <c r="G433" s="55"/>
      <c r="H433" s="54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</row>
    <row r="434">
      <c r="A434" s="51"/>
      <c r="B434" s="51"/>
      <c r="C434" s="51"/>
      <c r="D434" s="51"/>
      <c r="E434" s="51"/>
      <c r="F434" s="54"/>
      <c r="G434" s="55"/>
      <c r="H434" s="54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</row>
    <row r="435">
      <c r="A435" s="51"/>
      <c r="B435" s="51"/>
      <c r="C435" s="51"/>
      <c r="D435" s="51"/>
      <c r="E435" s="51"/>
      <c r="F435" s="54"/>
      <c r="G435" s="55"/>
      <c r="H435" s="54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</row>
    <row r="436">
      <c r="A436" s="51"/>
      <c r="B436" s="51"/>
      <c r="C436" s="51"/>
      <c r="D436" s="51"/>
      <c r="E436" s="51"/>
      <c r="F436" s="54"/>
      <c r="G436" s="55"/>
      <c r="H436" s="54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</row>
    <row r="437">
      <c r="A437" s="51"/>
      <c r="B437" s="51"/>
      <c r="C437" s="51"/>
      <c r="D437" s="51"/>
      <c r="E437" s="51"/>
      <c r="F437" s="54"/>
      <c r="G437" s="55"/>
      <c r="H437" s="54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</row>
    <row r="438">
      <c r="A438" s="51"/>
      <c r="B438" s="51"/>
      <c r="C438" s="51"/>
      <c r="D438" s="51"/>
      <c r="E438" s="51"/>
      <c r="F438" s="54"/>
      <c r="G438" s="55"/>
      <c r="H438" s="54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</row>
    <row r="439">
      <c r="A439" s="51"/>
      <c r="B439" s="51"/>
      <c r="C439" s="51"/>
      <c r="D439" s="51"/>
      <c r="E439" s="51"/>
      <c r="F439" s="54"/>
      <c r="G439" s="55"/>
      <c r="H439" s="54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</row>
    <row r="440">
      <c r="A440" s="51"/>
      <c r="B440" s="51"/>
      <c r="C440" s="51"/>
      <c r="D440" s="51"/>
      <c r="E440" s="51"/>
      <c r="F440" s="54"/>
      <c r="G440" s="55"/>
      <c r="H440" s="54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</row>
    <row r="441">
      <c r="A441" s="51"/>
      <c r="B441" s="51"/>
      <c r="C441" s="51"/>
      <c r="D441" s="51"/>
      <c r="E441" s="51"/>
      <c r="F441" s="54"/>
      <c r="G441" s="55"/>
      <c r="H441" s="54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</row>
    <row r="442">
      <c r="A442" s="51"/>
      <c r="B442" s="51"/>
      <c r="C442" s="51"/>
      <c r="D442" s="51"/>
      <c r="E442" s="51"/>
      <c r="F442" s="54"/>
      <c r="G442" s="55"/>
      <c r="H442" s="54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</row>
    <row r="443">
      <c r="A443" s="51"/>
      <c r="B443" s="51"/>
      <c r="C443" s="51"/>
      <c r="D443" s="51"/>
      <c r="E443" s="51"/>
      <c r="F443" s="54"/>
      <c r="G443" s="55"/>
      <c r="H443" s="54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</row>
    <row r="444">
      <c r="A444" s="51"/>
      <c r="B444" s="51"/>
      <c r="C444" s="51"/>
      <c r="D444" s="51"/>
      <c r="E444" s="51"/>
      <c r="F444" s="54"/>
      <c r="G444" s="55"/>
      <c r="H444" s="54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</row>
    <row r="445">
      <c r="A445" s="51"/>
      <c r="B445" s="51"/>
      <c r="C445" s="51"/>
      <c r="D445" s="51"/>
      <c r="E445" s="51"/>
      <c r="F445" s="54"/>
      <c r="G445" s="55"/>
      <c r="H445" s="54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</row>
    <row r="446">
      <c r="A446" s="51"/>
      <c r="B446" s="51"/>
      <c r="C446" s="51"/>
      <c r="D446" s="51"/>
      <c r="E446" s="51"/>
      <c r="F446" s="54"/>
      <c r="G446" s="55"/>
      <c r="H446" s="54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</row>
    <row r="447">
      <c r="A447" s="51"/>
      <c r="B447" s="51"/>
      <c r="C447" s="51"/>
      <c r="D447" s="51"/>
      <c r="E447" s="51"/>
      <c r="F447" s="54"/>
      <c r="G447" s="55"/>
      <c r="H447" s="54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</row>
    <row r="448">
      <c r="A448" s="51"/>
      <c r="B448" s="51"/>
      <c r="C448" s="51"/>
      <c r="D448" s="51"/>
      <c r="E448" s="51"/>
      <c r="F448" s="54"/>
      <c r="G448" s="55"/>
      <c r="H448" s="54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</row>
    <row r="449">
      <c r="A449" s="51"/>
      <c r="B449" s="51"/>
      <c r="C449" s="51"/>
      <c r="D449" s="51"/>
      <c r="E449" s="51"/>
      <c r="F449" s="54"/>
      <c r="G449" s="55"/>
      <c r="H449" s="54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</row>
    <row r="450">
      <c r="A450" s="51"/>
      <c r="B450" s="51"/>
      <c r="C450" s="51"/>
      <c r="D450" s="51"/>
      <c r="E450" s="51"/>
      <c r="F450" s="54"/>
      <c r="G450" s="55"/>
      <c r="H450" s="54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</row>
    <row r="451">
      <c r="A451" s="51"/>
      <c r="B451" s="51"/>
      <c r="C451" s="51"/>
      <c r="D451" s="51"/>
      <c r="E451" s="51"/>
      <c r="F451" s="54"/>
      <c r="G451" s="55"/>
      <c r="H451" s="54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</row>
    <row r="452">
      <c r="A452" s="51"/>
      <c r="B452" s="51"/>
      <c r="C452" s="51"/>
      <c r="D452" s="51"/>
      <c r="E452" s="51"/>
      <c r="F452" s="54"/>
      <c r="G452" s="55"/>
      <c r="H452" s="54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</row>
    <row r="453">
      <c r="A453" s="51"/>
      <c r="B453" s="51"/>
      <c r="C453" s="51"/>
      <c r="D453" s="51"/>
      <c r="E453" s="51"/>
      <c r="F453" s="54"/>
      <c r="G453" s="55"/>
      <c r="H453" s="54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</row>
    <row r="454">
      <c r="A454" s="51"/>
      <c r="B454" s="51"/>
      <c r="C454" s="51"/>
      <c r="D454" s="51"/>
      <c r="E454" s="51"/>
      <c r="F454" s="54"/>
      <c r="G454" s="55"/>
      <c r="H454" s="54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</row>
    <row r="455">
      <c r="A455" s="51"/>
      <c r="B455" s="51"/>
      <c r="C455" s="51"/>
      <c r="D455" s="51"/>
      <c r="E455" s="51"/>
      <c r="F455" s="54"/>
      <c r="G455" s="55"/>
      <c r="H455" s="54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</row>
    <row r="456">
      <c r="A456" s="51"/>
      <c r="B456" s="51"/>
      <c r="C456" s="51"/>
      <c r="D456" s="51"/>
      <c r="E456" s="51"/>
      <c r="F456" s="54"/>
      <c r="G456" s="55"/>
      <c r="H456" s="54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</row>
    <row r="457">
      <c r="A457" s="51"/>
      <c r="B457" s="51"/>
      <c r="C457" s="51"/>
      <c r="D457" s="51"/>
      <c r="E457" s="51"/>
      <c r="F457" s="54"/>
      <c r="G457" s="55"/>
      <c r="H457" s="54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</row>
    <row r="458">
      <c r="A458" s="51"/>
      <c r="B458" s="51"/>
      <c r="C458" s="51"/>
      <c r="D458" s="51"/>
      <c r="E458" s="51"/>
      <c r="F458" s="54"/>
      <c r="G458" s="55"/>
      <c r="H458" s="54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</row>
    <row r="459">
      <c r="A459" s="51"/>
      <c r="B459" s="51"/>
      <c r="C459" s="51"/>
      <c r="D459" s="51"/>
      <c r="E459" s="51"/>
      <c r="F459" s="54"/>
      <c r="G459" s="55"/>
      <c r="H459" s="54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</row>
    <row r="460">
      <c r="A460" s="51"/>
      <c r="B460" s="51"/>
      <c r="C460" s="51"/>
      <c r="D460" s="51"/>
      <c r="E460" s="51"/>
      <c r="F460" s="54"/>
      <c r="G460" s="55"/>
      <c r="H460" s="54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</row>
    <row r="461">
      <c r="A461" s="51"/>
      <c r="B461" s="51"/>
      <c r="C461" s="51"/>
      <c r="D461" s="51"/>
      <c r="E461" s="51"/>
      <c r="F461" s="54"/>
      <c r="G461" s="55"/>
      <c r="H461" s="54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</row>
    <row r="462">
      <c r="A462" s="51"/>
      <c r="B462" s="51"/>
      <c r="C462" s="51"/>
      <c r="D462" s="51"/>
      <c r="E462" s="51"/>
      <c r="F462" s="54"/>
      <c r="G462" s="55"/>
      <c r="H462" s="54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</row>
    <row r="463">
      <c r="A463" s="51"/>
      <c r="B463" s="51"/>
      <c r="C463" s="51"/>
      <c r="D463" s="51"/>
      <c r="E463" s="51"/>
      <c r="F463" s="54"/>
      <c r="G463" s="55"/>
      <c r="H463" s="54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</row>
    <row r="464">
      <c r="A464" s="51"/>
      <c r="B464" s="51"/>
      <c r="C464" s="51"/>
      <c r="D464" s="51"/>
      <c r="E464" s="51"/>
      <c r="F464" s="54"/>
      <c r="G464" s="55"/>
      <c r="H464" s="54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</row>
    <row r="465">
      <c r="A465" s="51"/>
      <c r="B465" s="51"/>
      <c r="C465" s="51"/>
      <c r="D465" s="51"/>
      <c r="E465" s="51"/>
      <c r="F465" s="54"/>
      <c r="G465" s="55"/>
      <c r="H465" s="54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</row>
    <row r="466">
      <c r="A466" s="51"/>
      <c r="B466" s="51"/>
      <c r="C466" s="51"/>
      <c r="D466" s="51"/>
      <c r="E466" s="51"/>
      <c r="F466" s="54"/>
      <c r="G466" s="55"/>
      <c r="H466" s="54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</row>
    <row r="467">
      <c r="A467" s="51"/>
      <c r="B467" s="51"/>
      <c r="C467" s="51"/>
      <c r="D467" s="51"/>
      <c r="E467" s="51"/>
      <c r="F467" s="54"/>
      <c r="G467" s="55"/>
      <c r="H467" s="54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</row>
    <row r="468">
      <c r="A468" s="51"/>
      <c r="B468" s="51"/>
      <c r="C468" s="51"/>
      <c r="D468" s="51"/>
      <c r="E468" s="51"/>
      <c r="F468" s="54"/>
      <c r="G468" s="55"/>
      <c r="H468" s="54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</row>
    <row r="469">
      <c r="A469" s="51"/>
      <c r="B469" s="51"/>
      <c r="C469" s="51"/>
      <c r="D469" s="51"/>
      <c r="E469" s="51"/>
      <c r="F469" s="54"/>
      <c r="G469" s="55"/>
      <c r="H469" s="54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</row>
    <row r="470">
      <c r="A470" s="51"/>
      <c r="B470" s="51"/>
      <c r="C470" s="51"/>
      <c r="D470" s="51"/>
      <c r="E470" s="51"/>
      <c r="F470" s="54"/>
      <c r="G470" s="55"/>
      <c r="H470" s="54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</row>
    <row r="471">
      <c r="A471" s="51"/>
      <c r="B471" s="51"/>
      <c r="C471" s="51"/>
      <c r="D471" s="51"/>
      <c r="E471" s="51"/>
      <c r="F471" s="54"/>
      <c r="G471" s="55"/>
      <c r="H471" s="54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</row>
    <row r="472">
      <c r="A472" s="51"/>
      <c r="B472" s="51"/>
      <c r="C472" s="51"/>
      <c r="D472" s="51"/>
      <c r="E472" s="51"/>
      <c r="F472" s="54"/>
      <c r="G472" s="55"/>
      <c r="H472" s="54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</row>
    <row r="473">
      <c r="A473" s="51"/>
      <c r="B473" s="51"/>
      <c r="C473" s="51"/>
      <c r="D473" s="51"/>
      <c r="E473" s="51"/>
      <c r="F473" s="54"/>
      <c r="G473" s="55"/>
      <c r="H473" s="54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</row>
    <row r="474">
      <c r="A474" s="51"/>
      <c r="B474" s="51"/>
      <c r="C474" s="51"/>
      <c r="D474" s="51"/>
      <c r="E474" s="51"/>
      <c r="F474" s="54"/>
      <c r="G474" s="55"/>
      <c r="H474" s="54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</row>
    <row r="475">
      <c r="A475" s="51"/>
      <c r="B475" s="51"/>
      <c r="C475" s="51"/>
      <c r="D475" s="51"/>
      <c r="E475" s="51"/>
      <c r="F475" s="54"/>
      <c r="G475" s="55"/>
      <c r="H475" s="54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</row>
    <row r="476">
      <c r="A476" s="51"/>
      <c r="B476" s="51"/>
      <c r="C476" s="51"/>
      <c r="D476" s="51"/>
      <c r="E476" s="51"/>
      <c r="F476" s="54"/>
      <c r="G476" s="55"/>
      <c r="H476" s="54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</row>
    <row r="477">
      <c r="A477" s="51"/>
      <c r="B477" s="51"/>
      <c r="C477" s="51"/>
      <c r="D477" s="51"/>
      <c r="E477" s="51"/>
      <c r="F477" s="54"/>
      <c r="G477" s="55"/>
      <c r="H477" s="54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</row>
    <row r="478">
      <c r="A478" s="51"/>
      <c r="B478" s="51"/>
      <c r="C478" s="51"/>
      <c r="D478" s="51"/>
      <c r="E478" s="51"/>
      <c r="F478" s="54"/>
      <c r="G478" s="55"/>
      <c r="H478" s="54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</row>
    <row r="479">
      <c r="A479" s="51"/>
      <c r="B479" s="51"/>
      <c r="C479" s="51"/>
      <c r="D479" s="51"/>
      <c r="E479" s="51"/>
      <c r="F479" s="54"/>
      <c r="G479" s="55"/>
      <c r="H479" s="54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</row>
    <row r="480">
      <c r="A480" s="51"/>
      <c r="B480" s="51"/>
      <c r="C480" s="51"/>
      <c r="D480" s="51"/>
      <c r="E480" s="51"/>
      <c r="F480" s="54"/>
      <c r="G480" s="55"/>
      <c r="H480" s="54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</row>
    <row r="481">
      <c r="A481" s="51"/>
      <c r="B481" s="51"/>
      <c r="C481" s="51"/>
      <c r="D481" s="51"/>
      <c r="E481" s="51"/>
      <c r="F481" s="54"/>
      <c r="G481" s="55"/>
      <c r="H481" s="54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</row>
    <row r="482">
      <c r="A482" s="51"/>
      <c r="B482" s="51"/>
      <c r="C482" s="51"/>
      <c r="D482" s="51"/>
      <c r="E482" s="51"/>
      <c r="F482" s="54"/>
      <c r="G482" s="55"/>
      <c r="H482" s="54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</row>
    <row r="483">
      <c r="A483" s="51"/>
      <c r="B483" s="51"/>
      <c r="C483" s="51"/>
      <c r="D483" s="51"/>
      <c r="E483" s="51"/>
      <c r="F483" s="54"/>
      <c r="G483" s="55"/>
      <c r="H483" s="54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</row>
    <row r="484">
      <c r="A484" s="51"/>
      <c r="B484" s="51"/>
      <c r="C484" s="51"/>
      <c r="D484" s="51"/>
      <c r="E484" s="51"/>
      <c r="F484" s="54"/>
      <c r="G484" s="55"/>
      <c r="H484" s="54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</row>
    <row r="485">
      <c r="A485" s="51"/>
      <c r="B485" s="51"/>
      <c r="C485" s="51"/>
      <c r="D485" s="51"/>
      <c r="E485" s="51"/>
      <c r="F485" s="54"/>
      <c r="G485" s="55"/>
      <c r="H485" s="54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</row>
    <row r="486">
      <c r="A486" s="51"/>
      <c r="B486" s="51"/>
      <c r="C486" s="51"/>
      <c r="D486" s="51"/>
      <c r="E486" s="51"/>
      <c r="F486" s="54"/>
      <c r="G486" s="55"/>
      <c r="H486" s="54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</row>
    <row r="487">
      <c r="A487" s="51"/>
      <c r="B487" s="51"/>
      <c r="C487" s="51"/>
      <c r="D487" s="51"/>
      <c r="E487" s="51"/>
      <c r="F487" s="54"/>
      <c r="G487" s="55"/>
      <c r="H487" s="54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</row>
    <row r="488">
      <c r="A488" s="51"/>
      <c r="B488" s="51"/>
      <c r="C488" s="51"/>
      <c r="D488" s="51"/>
      <c r="E488" s="51"/>
      <c r="F488" s="54"/>
      <c r="G488" s="55"/>
      <c r="H488" s="54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</row>
    <row r="489">
      <c r="A489" s="51"/>
      <c r="B489" s="51"/>
      <c r="C489" s="51"/>
      <c r="D489" s="51"/>
      <c r="E489" s="51"/>
      <c r="F489" s="54"/>
      <c r="G489" s="55"/>
      <c r="H489" s="54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</row>
    <row r="490">
      <c r="A490" s="51"/>
      <c r="B490" s="51"/>
      <c r="C490" s="51"/>
      <c r="D490" s="51"/>
      <c r="E490" s="51"/>
      <c r="F490" s="54"/>
      <c r="G490" s="55"/>
      <c r="H490" s="54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</row>
    <row r="491">
      <c r="A491" s="51"/>
      <c r="B491" s="51"/>
      <c r="C491" s="51"/>
      <c r="D491" s="51"/>
      <c r="E491" s="51"/>
      <c r="F491" s="54"/>
      <c r="G491" s="55"/>
      <c r="H491" s="54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</row>
    <row r="492">
      <c r="A492" s="51"/>
      <c r="B492" s="51"/>
      <c r="C492" s="51"/>
      <c r="D492" s="51"/>
      <c r="E492" s="51"/>
      <c r="F492" s="54"/>
      <c r="G492" s="55"/>
      <c r="H492" s="54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</row>
    <row r="493">
      <c r="A493" s="51"/>
      <c r="B493" s="51"/>
      <c r="C493" s="51"/>
      <c r="D493" s="51"/>
      <c r="E493" s="51"/>
      <c r="F493" s="54"/>
      <c r="G493" s="55"/>
      <c r="H493" s="54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</row>
    <row r="494">
      <c r="A494" s="51"/>
      <c r="B494" s="51"/>
      <c r="C494" s="51"/>
      <c r="D494" s="51"/>
      <c r="E494" s="51"/>
      <c r="F494" s="54"/>
      <c r="G494" s="55"/>
      <c r="H494" s="54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</row>
    <row r="495">
      <c r="A495" s="51"/>
      <c r="B495" s="51"/>
      <c r="C495" s="51"/>
      <c r="D495" s="51"/>
      <c r="E495" s="51"/>
      <c r="F495" s="54"/>
      <c r="G495" s="55"/>
      <c r="H495" s="54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</row>
    <row r="496">
      <c r="A496" s="51"/>
      <c r="B496" s="51"/>
      <c r="C496" s="51"/>
      <c r="D496" s="51"/>
      <c r="E496" s="51"/>
      <c r="F496" s="54"/>
      <c r="G496" s="55"/>
      <c r="H496" s="54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</row>
    <row r="497">
      <c r="A497" s="51"/>
      <c r="B497" s="51"/>
      <c r="C497" s="51"/>
      <c r="D497" s="51"/>
      <c r="E497" s="51"/>
      <c r="F497" s="54"/>
      <c r="G497" s="55"/>
      <c r="H497" s="54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</row>
    <row r="498">
      <c r="A498" s="51"/>
      <c r="B498" s="51"/>
      <c r="C498" s="51"/>
      <c r="D498" s="51"/>
      <c r="E498" s="51"/>
      <c r="F498" s="54"/>
      <c r="G498" s="55"/>
      <c r="H498" s="54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</row>
    <row r="499">
      <c r="A499" s="51"/>
      <c r="B499" s="51"/>
      <c r="C499" s="51"/>
      <c r="D499" s="51"/>
      <c r="E499" s="51"/>
      <c r="F499" s="54"/>
      <c r="G499" s="55"/>
      <c r="H499" s="54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</row>
    <row r="500">
      <c r="A500" s="51"/>
      <c r="B500" s="51"/>
      <c r="C500" s="51"/>
      <c r="D500" s="51"/>
      <c r="E500" s="51"/>
      <c r="F500" s="54"/>
      <c r="G500" s="55"/>
      <c r="H500" s="54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</row>
    <row r="501">
      <c r="A501" s="51"/>
      <c r="B501" s="51"/>
      <c r="C501" s="51"/>
      <c r="D501" s="51"/>
      <c r="E501" s="51"/>
      <c r="F501" s="54"/>
      <c r="G501" s="55"/>
      <c r="H501" s="54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</row>
    <row r="502">
      <c r="A502" s="51"/>
      <c r="B502" s="51"/>
      <c r="C502" s="51"/>
      <c r="D502" s="51"/>
      <c r="E502" s="51"/>
      <c r="F502" s="54"/>
      <c r="G502" s="55"/>
      <c r="H502" s="54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</row>
    <row r="503">
      <c r="A503" s="51"/>
      <c r="B503" s="51"/>
      <c r="C503" s="51"/>
      <c r="D503" s="51"/>
      <c r="E503" s="51"/>
      <c r="F503" s="54"/>
      <c r="G503" s="55"/>
      <c r="H503" s="54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</row>
    <row r="504">
      <c r="A504" s="51"/>
      <c r="B504" s="51"/>
      <c r="C504" s="51"/>
      <c r="D504" s="51"/>
      <c r="E504" s="51"/>
      <c r="F504" s="54"/>
      <c r="G504" s="55"/>
      <c r="H504" s="54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</row>
    <row r="505">
      <c r="A505" s="51"/>
      <c r="B505" s="51"/>
      <c r="C505" s="51"/>
      <c r="D505" s="51"/>
      <c r="E505" s="51"/>
      <c r="F505" s="54"/>
      <c r="G505" s="55"/>
      <c r="H505" s="54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</row>
    <row r="506">
      <c r="A506" s="51"/>
      <c r="B506" s="51"/>
      <c r="C506" s="51"/>
      <c r="D506" s="51"/>
      <c r="E506" s="51"/>
      <c r="F506" s="54"/>
      <c r="G506" s="55"/>
      <c r="H506" s="54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</row>
    <row r="507">
      <c r="A507" s="51"/>
      <c r="B507" s="51"/>
      <c r="C507" s="51"/>
      <c r="D507" s="51"/>
      <c r="E507" s="51"/>
      <c r="F507" s="54"/>
      <c r="G507" s="55"/>
      <c r="H507" s="54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</row>
    <row r="508">
      <c r="A508" s="51"/>
      <c r="B508" s="51"/>
      <c r="C508" s="51"/>
      <c r="D508" s="51"/>
      <c r="E508" s="51"/>
      <c r="F508" s="54"/>
      <c r="G508" s="55"/>
      <c r="H508" s="54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</row>
    <row r="509">
      <c r="A509" s="51"/>
      <c r="B509" s="51"/>
      <c r="C509" s="51"/>
      <c r="D509" s="51"/>
      <c r="E509" s="51"/>
      <c r="F509" s="54"/>
      <c r="G509" s="55"/>
      <c r="H509" s="54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</row>
    <row r="510">
      <c r="A510" s="51"/>
      <c r="B510" s="51"/>
      <c r="C510" s="51"/>
      <c r="D510" s="51"/>
      <c r="E510" s="51"/>
      <c r="F510" s="54"/>
      <c r="G510" s="55"/>
      <c r="H510" s="54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</row>
    <row r="511">
      <c r="A511" s="51"/>
      <c r="B511" s="51"/>
      <c r="C511" s="51"/>
      <c r="D511" s="51"/>
      <c r="E511" s="51"/>
      <c r="F511" s="54"/>
      <c r="G511" s="55"/>
      <c r="H511" s="54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</row>
    <row r="512">
      <c r="A512" s="51"/>
      <c r="B512" s="51"/>
      <c r="C512" s="51"/>
      <c r="D512" s="51"/>
      <c r="E512" s="51"/>
      <c r="F512" s="54"/>
      <c r="G512" s="55"/>
      <c r="H512" s="54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</row>
    <row r="513">
      <c r="A513" s="51"/>
      <c r="B513" s="51"/>
      <c r="C513" s="51"/>
      <c r="D513" s="51"/>
      <c r="E513" s="51"/>
      <c r="F513" s="54"/>
      <c r="G513" s="55"/>
      <c r="H513" s="54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</row>
    <row r="514">
      <c r="A514" s="51"/>
      <c r="B514" s="51"/>
      <c r="C514" s="51"/>
      <c r="D514" s="51"/>
      <c r="E514" s="51"/>
      <c r="F514" s="54"/>
      <c r="G514" s="55"/>
      <c r="H514" s="54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</row>
    <row r="515">
      <c r="A515" s="51"/>
      <c r="B515" s="51"/>
      <c r="C515" s="51"/>
      <c r="D515" s="51"/>
      <c r="E515" s="51"/>
      <c r="F515" s="54"/>
      <c r="G515" s="55"/>
      <c r="H515" s="54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</row>
    <row r="516">
      <c r="A516" s="51"/>
      <c r="B516" s="51"/>
      <c r="C516" s="51"/>
      <c r="D516" s="51"/>
      <c r="E516" s="51"/>
      <c r="F516" s="54"/>
      <c r="G516" s="55"/>
      <c r="H516" s="54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</row>
    <row r="517">
      <c r="A517" s="51"/>
      <c r="B517" s="51"/>
      <c r="C517" s="51"/>
      <c r="D517" s="51"/>
      <c r="E517" s="51"/>
      <c r="F517" s="54"/>
      <c r="G517" s="55"/>
      <c r="H517" s="54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</row>
    <row r="518">
      <c r="A518" s="51"/>
      <c r="B518" s="51"/>
      <c r="C518" s="51"/>
      <c r="D518" s="51"/>
      <c r="E518" s="51"/>
      <c r="F518" s="54"/>
      <c r="G518" s="55"/>
      <c r="H518" s="54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</row>
    <row r="519">
      <c r="A519" s="51"/>
      <c r="B519" s="51"/>
      <c r="C519" s="51"/>
      <c r="D519" s="51"/>
      <c r="E519" s="51"/>
      <c r="F519" s="54"/>
      <c r="G519" s="55"/>
      <c r="H519" s="54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</row>
    <row r="520">
      <c r="A520" s="51"/>
      <c r="B520" s="51"/>
      <c r="C520" s="51"/>
      <c r="D520" s="51"/>
      <c r="E520" s="51"/>
      <c r="F520" s="54"/>
      <c r="G520" s="55"/>
      <c r="H520" s="54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</row>
    <row r="521">
      <c r="A521" s="51"/>
      <c r="B521" s="51"/>
      <c r="C521" s="51"/>
      <c r="D521" s="51"/>
      <c r="E521" s="51"/>
      <c r="F521" s="54"/>
      <c r="G521" s="55"/>
      <c r="H521" s="54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</row>
    <row r="522">
      <c r="A522" s="51"/>
      <c r="B522" s="51"/>
      <c r="C522" s="51"/>
      <c r="D522" s="51"/>
      <c r="E522" s="51"/>
      <c r="F522" s="54"/>
      <c r="G522" s="55"/>
      <c r="H522" s="54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</row>
    <row r="523">
      <c r="A523" s="51"/>
      <c r="B523" s="51"/>
      <c r="C523" s="51"/>
      <c r="D523" s="51"/>
      <c r="E523" s="51"/>
      <c r="F523" s="54"/>
      <c r="G523" s="55"/>
      <c r="H523" s="54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</row>
    <row r="524">
      <c r="A524" s="51"/>
      <c r="B524" s="51"/>
      <c r="C524" s="51"/>
      <c r="D524" s="51"/>
      <c r="E524" s="51"/>
      <c r="F524" s="54"/>
      <c r="G524" s="55"/>
      <c r="H524" s="54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</row>
    <row r="525">
      <c r="A525" s="51"/>
      <c r="B525" s="51"/>
      <c r="C525" s="51"/>
      <c r="D525" s="51"/>
      <c r="E525" s="51"/>
      <c r="F525" s="54"/>
      <c r="G525" s="55"/>
      <c r="H525" s="54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</row>
    <row r="526">
      <c r="A526" s="51"/>
      <c r="B526" s="51"/>
      <c r="C526" s="51"/>
      <c r="D526" s="51"/>
      <c r="E526" s="51"/>
      <c r="F526" s="54"/>
      <c r="G526" s="55"/>
      <c r="H526" s="54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</row>
    <row r="527">
      <c r="A527" s="51"/>
      <c r="B527" s="51"/>
      <c r="C527" s="51"/>
      <c r="D527" s="51"/>
      <c r="E527" s="51"/>
      <c r="F527" s="54"/>
      <c r="G527" s="55"/>
      <c r="H527" s="54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</row>
    <row r="528">
      <c r="A528" s="51"/>
      <c r="B528" s="51"/>
      <c r="C528" s="51"/>
      <c r="D528" s="51"/>
      <c r="E528" s="51"/>
      <c r="F528" s="54"/>
      <c r="G528" s="55"/>
      <c r="H528" s="54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</row>
    <row r="529">
      <c r="A529" s="51"/>
      <c r="B529" s="51"/>
      <c r="C529" s="51"/>
      <c r="D529" s="51"/>
      <c r="E529" s="51"/>
      <c r="F529" s="54"/>
      <c r="G529" s="55"/>
      <c r="H529" s="54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</row>
    <row r="530">
      <c r="A530" s="51"/>
      <c r="B530" s="51"/>
      <c r="C530" s="51"/>
      <c r="D530" s="51"/>
      <c r="E530" s="51"/>
      <c r="F530" s="54"/>
      <c r="G530" s="55"/>
      <c r="H530" s="54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</row>
    <row r="531">
      <c r="A531" s="51"/>
      <c r="B531" s="51"/>
      <c r="C531" s="51"/>
      <c r="D531" s="51"/>
      <c r="E531" s="51"/>
      <c r="F531" s="54"/>
      <c r="G531" s="55"/>
      <c r="H531" s="54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</row>
    <row r="532">
      <c r="A532" s="51"/>
      <c r="B532" s="51"/>
      <c r="C532" s="51"/>
      <c r="D532" s="51"/>
      <c r="E532" s="51"/>
      <c r="F532" s="54"/>
      <c r="G532" s="55"/>
      <c r="H532" s="54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</row>
    <row r="533">
      <c r="A533" s="51"/>
      <c r="B533" s="51"/>
      <c r="C533" s="51"/>
      <c r="D533" s="51"/>
      <c r="E533" s="51"/>
      <c r="F533" s="54"/>
      <c r="G533" s="55"/>
      <c r="H533" s="54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</row>
    <row r="534">
      <c r="A534" s="51"/>
      <c r="B534" s="51"/>
      <c r="C534" s="51"/>
      <c r="D534" s="51"/>
      <c r="E534" s="51"/>
      <c r="F534" s="54"/>
      <c r="G534" s="55"/>
      <c r="H534" s="54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</row>
    <row r="535">
      <c r="A535" s="51"/>
      <c r="B535" s="51"/>
      <c r="C535" s="51"/>
      <c r="D535" s="51"/>
      <c r="E535" s="51"/>
      <c r="F535" s="54"/>
      <c r="G535" s="55"/>
      <c r="H535" s="54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</row>
    <row r="536">
      <c r="A536" s="51"/>
      <c r="B536" s="51"/>
      <c r="C536" s="51"/>
      <c r="D536" s="51"/>
      <c r="E536" s="51"/>
      <c r="F536" s="54"/>
      <c r="G536" s="55"/>
      <c r="H536" s="54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</row>
    <row r="537">
      <c r="A537" s="51"/>
      <c r="B537" s="51"/>
      <c r="C537" s="51"/>
      <c r="D537" s="51"/>
      <c r="E537" s="51"/>
      <c r="F537" s="54"/>
      <c r="G537" s="55"/>
      <c r="H537" s="54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</row>
    <row r="538">
      <c r="A538" s="51"/>
      <c r="B538" s="51"/>
      <c r="C538" s="51"/>
      <c r="D538" s="51"/>
      <c r="E538" s="51"/>
      <c r="F538" s="54"/>
      <c r="G538" s="55"/>
      <c r="H538" s="54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</row>
    <row r="539">
      <c r="A539" s="51"/>
      <c r="B539" s="51"/>
      <c r="C539" s="51"/>
      <c r="D539" s="51"/>
      <c r="E539" s="51"/>
      <c r="F539" s="54"/>
      <c r="G539" s="55"/>
      <c r="H539" s="54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</row>
    <row r="540">
      <c r="A540" s="51"/>
      <c r="B540" s="51"/>
      <c r="C540" s="51"/>
      <c r="D540" s="51"/>
      <c r="E540" s="51"/>
      <c r="F540" s="54"/>
      <c r="G540" s="55"/>
      <c r="H540" s="54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</row>
    <row r="541">
      <c r="A541" s="51"/>
      <c r="B541" s="51"/>
      <c r="C541" s="51"/>
      <c r="D541" s="51"/>
      <c r="E541" s="51"/>
      <c r="F541" s="54"/>
      <c r="G541" s="55"/>
      <c r="H541" s="54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</row>
    <row r="542">
      <c r="A542" s="51"/>
      <c r="B542" s="51"/>
      <c r="C542" s="51"/>
      <c r="D542" s="51"/>
      <c r="E542" s="51"/>
      <c r="F542" s="54"/>
      <c r="G542" s="55"/>
      <c r="H542" s="54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</row>
    <row r="543">
      <c r="A543" s="51"/>
      <c r="B543" s="51"/>
      <c r="C543" s="51"/>
      <c r="D543" s="51"/>
      <c r="E543" s="51"/>
      <c r="F543" s="54"/>
      <c r="G543" s="55"/>
      <c r="H543" s="54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</row>
    <row r="544">
      <c r="A544" s="51"/>
      <c r="B544" s="51"/>
      <c r="C544" s="51"/>
      <c r="D544" s="51"/>
      <c r="E544" s="51"/>
      <c r="F544" s="54"/>
      <c r="G544" s="55"/>
      <c r="H544" s="54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</row>
    <row r="545">
      <c r="A545" s="51"/>
      <c r="B545" s="51"/>
      <c r="C545" s="51"/>
      <c r="D545" s="51"/>
      <c r="E545" s="51"/>
      <c r="F545" s="54"/>
      <c r="G545" s="55"/>
      <c r="H545" s="54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</row>
    <row r="546">
      <c r="A546" s="51"/>
      <c r="B546" s="51"/>
      <c r="C546" s="51"/>
      <c r="D546" s="51"/>
      <c r="E546" s="51"/>
      <c r="F546" s="54"/>
      <c r="G546" s="55"/>
      <c r="H546" s="54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</row>
    <row r="547">
      <c r="A547" s="51"/>
      <c r="B547" s="51"/>
      <c r="C547" s="51"/>
      <c r="D547" s="51"/>
      <c r="E547" s="51"/>
      <c r="F547" s="54"/>
      <c r="G547" s="55"/>
      <c r="H547" s="54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</row>
    <row r="548">
      <c r="A548" s="51"/>
      <c r="B548" s="51"/>
      <c r="C548" s="51"/>
      <c r="D548" s="51"/>
      <c r="E548" s="51"/>
      <c r="F548" s="54"/>
      <c r="G548" s="55"/>
      <c r="H548" s="54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</row>
    <row r="549">
      <c r="A549" s="51"/>
      <c r="B549" s="51"/>
      <c r="C549" s="51"/>
      <c r="D549" s="51"/>
      <c r="E549" s="51"/>
      <c r="F549" s="54"/>
      <c r="G549" s="55"/>
      <c r="H549" s="54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</row>
    <row r="550">
      <c r="A550" s="51"/>
      <c r="B550" s="51"/>
      <c r="C550" s="51"/>
      <c r="D550" s="51"/>
      <c r="E550" s="51"/>
      <c r="F550" s="54"/>
      <c r="G550" s="55"/>
      <c r="H550" s="54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</row>
    <row r="551">
      <c r="A551" s="51"/>
      <c r="B551" s="51"/>
      <c r="C551" s="51"/>
      <c r="D551" s="51"/>
      <c r="E551" s="51"/>
      <c r="F551" s="54"/>
      <c r="G551" s="55"/>
      <c r="H551" s="54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</row>
    <row r="552">
      <c r="A552" s="51"/>
      <c r="B552" s="51"/>
      <c r="C552" s="51"/>
      <c r="D552" s="51"/>
      <c r="E552" s="51"/>
      <c r="F552" s="54"/>
      <c r="G552" s="55"/>
      <c r="H552" s="54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</row>
    <row r="553">
      <c r="A553" s="51"/>
      <c r="B553" s="51"/>
      <c r="C553" s="51"/>
      <c r="D553" s="51"/>
      <c r="E553" s="51"/>
      <c r="F553" s="54"/>
      <c r="G553" s="55"/>
      <c r="H553" s="54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</row>
    <row r="554">
      <c r="A554" s="51"/>
      <c r="B554" s="51"/>
      <c r="C554" s="51"/>
      <c r="D554" s="51"/>
      <c r="E554" s="51"/>
      <c r="F554" s="54"/>
      <c r="G554" s="55"/>
      <c r="H554" s="54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</row>
    <row r="555">
      <c r="A555" s="51"/>
      <c r="B555" s="51"/>
      <c r="C555" s="51"/>
      <c r="D555" s="51"/>
      <c r="E555" s="51"/>
      <c r="F555" s="54"/>
      <c r="G555" s="55"/>
      <c r="H555" s="54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</row>
    <row r="556">
      <c r="A556" s="51"/>
      <c r="B556" s="51"/>
      <c r="C556" s="51"/>
      <c r="D556" s="51"/>
      <c r="E556" s="51"/>
      <c r="F556" s="54"/>
      <c r="G556" s="55"/>
      <c r="H556" s="54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</row>
    <row r="557">
      <c r="A557" s="51"/>
      <c r="B557" s="51"/>
      <c r="C557" s="51"/>
      <c r="D557" s="51"/>
      <c r="E557" s="51"/>
      <c r="F557" s="54"/>
      <c r="G557" s="55"/>
      <c r="H557" s="54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</row>
    <row r="558">
      <c r="A558" s="51"/>
      <c r="B558" s="51"/>
      <c r="C558" s="51"/>
      <c r="D558" s="51"/>
      <c r="E558" s="51"/>
      <c r="F558" s="54"/>
      <c r="G558" s="55"/>
      <c r="H558" s="54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</row>
    <row r="559">
      <c r="A559" s="51"/>
      <c r="B559" s="51"/>
      <c r="C559" s="51"/>
      <c r="D559" s="51"/>
      <c r="E559" s="51"/>
      <c r="F559" s="54"/>
      <c r="G559" s="55"/>
      <c r="H559" s="54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</row>
    <row r="560">
      <c r="A560" s="51"/>
      <c r="B560" s="51"/>
      <c r="C560" s="51"/>
      <c r="D560" s="51"/>
      <c r="E560" s="51"/>
      <c r="F560" s="54"/>
      <c r="G560" s="55"/>
      <c r="H560" s="54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</row>
    <row r="561">
      <c r="A561" s="51"/>
      <c r="B561" s="51"/>
      <c r="C561" s="51"/>
      <c r="D561" s="51"/>
      <c r="E561" s="51"/>
      <c r="F561" s="54"/>
      <c r="G561" s="55"/>
      <c r="H561" s="54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</row>
    <row r="562">
      <c r="A562" s="51"/>
      <c r="B562" s="51"/>
      <c r="C562" s="51"/>
      <c r="D562" s="51"/>
      <c r="E562" s="51"/>
      <c r="F562" s="54"/>
      <c r="G562" s="55"/>
      <c r="H562" s="54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</row>
    <row r="563">
      <c r="A563" s="51"/>
      <c r="B563" s="51"/>
      <c r="C563" s="51"/>
      <c r="D563" s="51"/>
      <c r="E563" s="51"/>
      <c r="F563" s="54"/>
      <c r="G563" s="55"/>
      <c r="H563" s="54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</row>
    <row r="564">
      <c r="A564" s="51"/>
      <c r="B564" s="51"/>
      <c r="C564" s="51"/>
      <c r="D564" s="51"/>
      <c r="E564" s="51"/>
      <c r="F564" s="54"/>
      <c r="G564" s="55"/>
      <c r="H564" s="54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</row>
    <row r="565">
      <c r="A565" s="51"/>
      <c r="B565" s="51"/>
      <c r="C565" s="51"/>
      <c r="D565" s="51"/>
      <c r="E565" s="51"/>
      <c r="F565" s="54"/>
      <c r="G565" s="55"/>
      <c r="H565" s="54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</row>
    <row r="566">
      <c r="A566" s="51"/>
      <c r="B566" s="51"/>
      <c r="C566" s="51"/>
      <c r="D566" s="51"/>
      <c r="E566" s="51"/>
      <c r="F566" s="54"/>
      <c r="G566" s="55"/>
      <c r="H566" s="54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</row>
    <row r="567">
      <c r="A567" s="51"/>
      <c r="B567" s="51"/>
      <c r="C567" s="51"/>
      <c r="D567" s="51"/>
      <c r="E567" s="51"/>
      <c r="F567" s="54"/>
      <c r="G567" s="55"/>
      <c r="H567" s="54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</row>
    <row r="568">
      <c r="A568" s="51"/>
      <c r="B568" s="51"/>
      <c r="C568" s="51"/>
      <c r="D568" s="51"/>
      <c r="E568" s="51"/>
      <c r="F568" s="54"/>
      <c r="G568" s="55"/>
      <c r="H568" s="54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</row>
    <row r="569">
      <c r="A569" s="51"/>
      <c r="B569" s="51"/>
      <c r="C569" s="51"/>
      <c r="D569" s="51"/>
      <c r="E569" s="51"/>
      <c r="F569" s="54"/>
      <c r="G569" s="55"/>
      <c r="H569" s="54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</row>
    <row r="570">
      <c r="A570" s="51"/>
      <c r="B570" s="51"/>
      <c r="C570" s="51"/>
      <c r="D570" s="51"/>
      <c r="E570" s="51"/>
      <c r="F570" s="54"/>
      <c r="G570" s="55"/>
      <c r="H570" s="54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</row>
    <row r="571">
      <c r="A571" s="51"/>
      <c r="B571" s="51"/>
      <c r="C571" s="51"/>
      <c r="D571" s="51"/>
      <c r="E571" s="51"/>
      <c r="F571" s="54"/>
      <c r="G571" s="55"/>
      <c r="H571" s="54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</row>
    <row r="572">
      <c r="A572" s="51"/>
      <c r="B572" s="51"/>
      <c r="C572" s="51"/>
      <c r="D572" s="51"/>
      <c r="E572" s="51"/>
      <c r="F572" s="54"/>
      <c r="G572" s="55"/>
      <c r="H572" s="54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</row>
    <row r="573">
      <c r="A573" s="51"/>
      <c r="B573" s="51"/>
      <c r="C573" s="51"/>
      <c r="D573" s="51"/>
      <c r="E573" s="51"/>
      <c r="F573" s="54"/>
      <c r="G573" s="55"/>
      <c r="H573" s="54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</row>
    <row r="574">
      <c r="A574" s="51"/>
      <c r="B574" s="51"/>
      <c r="C574" s="51"/>
      <c r="D574" s="51"/>
      <c r="E574" s="51"/>
      <c r="F574" s="54"/>
      <c r="G574" s="55"/>
      <c r="H574" s="54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</row>
    <row r="575">
      <c r="A575" s="51"/>
      <c r="B575" s="51"/>
      <c r="C575" s="51"/>
      <c r="D575" s="51"/>
      <c r="E575" s="51"/>
      <c r="F575" s="54"/>
      <c r="G575" s="55"/>
      <c r="H575" s="54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</row>
    <row r="576">
      <c r="A576" s="51"/>
      <c r="B576" s="51"/>
      <c r="C576" s="51"/>
      <c r="D576" s="51"/>
      <c r="E576" s="51"/>
      <c r="F576" s="54"/>
      <c r="G576" s="55"/>
      <c r="H576" s="54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</row>
    <row r="577">
      <c r="A577" s="51"/>
      <c r="B577" s="51"/>
      <c r="C577" s="51"/>
      <c r="D577" s="51"/>
      <c r="E577" s="51"/>
      <c r="F577" s="54"/>
      <c r="G577" s="55"/>
      <c r="H577" s="54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</row>
    <row r="578">
      <c r="A578" s="51"/>
      <c r="B578" s="51"/>
      <c r="C578" s="51"/>
      <c r="D578" s="51"/>
      <c r="E578" s="51"/>
      <c r="F578" s="54"/>
      <c r="G578" s="55"/>
      <c r="H578" s="54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</row>
    <row r="579">
      <c r="A579" s="51"/>
      <c r="B579" s="51"/>
      <c r="C579" s="51"/>
      <c r="D579" s="51"/>
      <c r="E579" s="51"/>
      <c r="F579" s="54"/>
      <c r="G579" s="55"/>
      <c r="H579" s="54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</row>
    <row r="580">
      <c r="A580" s="51"/>
      <c r="B580" s="51"/>
      <c r="C580" s="51"/>
      <c r="D580" s="51"/>
      <c r="E580" s="51"/>
      <c r="F580" s="54"/>
      <c r="G580" s="55"/>
      <c r="H580" s="54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</row>
    <row r="581">
      <c r="A581" s="51"/>
      <c r="B581" s="51"/>
      <c r="C581" s="51"/>
      <c r="D581" s="51"/>
      <c r="E581" s="51"/>
      <c r="F581" s="54"/>
      <c r="G581" s="55"/>
      <c r="H581" s="54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</row>
    <row r="582">
      <c r="A582" s="51"/>
      <c r="B582" s="51"/>
      <c r="C582" s="51"/>
      <c r="D582" s="51"/>
      <c r="E582" s="51"/>
      <c r="F582" s="54"/>
      <c r="G582" s="55"/>
      <c r="H582" s="54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</row>
    <row r="583">
      <c r="A583" s="51"/>
      <c r="B583" s="51"/>
      <c r="C583" s="51"/>
      <c r="D583" s="51"/>
      <c r="E583" s="51"/>
      <c r="F583" s="54"/>
      <c r="G583" s="55"/>
      <c r="H583" s="54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</row>
    <row r="584">
      <c r="A584" s="51"/>
      <c r="B584" s="51"/>
      <c r="C584" s="51"/>
      <c r="D584" s="51"/>
      <c r="E584" s="51"/>
      <c r="F584" s="54"/>
      <c r="G584" s="55"/>
      <c r="H584" s="54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</row>
    <row r="585">
      <c r="A585" s="51"/>
      <c r="B585" s="51"/>
      <c r="C585" s="51"/>
      <c r="D585" s="51"/>
      <c r="E585" s="51"/>
      <c r="F585" s="54"/>
      <c r="G585" s="55"/>
      <c r="H585" s="54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</row>
    <row r="586">
      <c r="A586" s="51"/>
      <c r="B586" s="51"/>
      <c r="C586" s="51"/>
      <c r="D586" s="51"/>
      <c r="E586" s="51"/>
      <c r="F586" s="54"/>
      <c r="G586" s="55"/>
      <c r="H586" s="54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</row>
    <row r="587">
      <c r="A587" s="51"/>
      <c r="B587" s="51"/>
      <c r="C587" s="51"/>
      <c r="D587" s="51"/>
      <c r="E587" s="51"/>
      <c r="F587" s="54"/>
      <c r="G587" s="55"/>
      <c r="H587" s="54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</row>
    <row r="588">
      <c r="A588" s="51"/>
      <c r="B588" s="51"/>
      <c r="C588" s="51"/>
      <c r="D588" s="51"/>
      <c r="E588" s="51"/>
      <c r="F588" s="54"/>
      <c r="G588" s="55"/>
      <c r="H588" s="54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</row>
    <row r="589">
      <c r="A589" s="51"/>
      <c r="B589" s="51"/>
      <c r="C589" s="51"/>
      <c r="D589" s="51"/>
      <c r="E589" s="51"/>
      <c r="F589" s="54"/>
      <c r="G589" s="55"/>
      <c r="H589" s="54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</row>
    <row r="590">
      <c r="A590" s="51"/>
      <c r="B590" s="51"/>
      <c r="C590" s="51"/>
      <c r="D590" s="51"/>
      <c r="E590" s="51"/>
      <c r="F590" s="54"/>
      <c r="G590" s="55"/>
      <c r="H590" s="54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</row>
    <row r="591">
      <c r="A591" s="51"/>
      <c r="B591" s="51"/>
      <c r="C591" s="51"/>
      <c r="D591" s="51"/>
      <c r="E591" s="51"/>
      <c r="F591" s="54"/>
      <c r="G591" s="55"/>
      <c r="H591" s="54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</row>
    <row r="592">
      <c r="A592" s="51"/>
      <c r="B592" s="51"/>
      <c r="C592" s="51"/>
      <c r="D592" s="51"/>
      <c r="E592" s="51"/>
      <c r="F592" s="54"/>
      <c r="G592" s="55"/>
      <c r="H592" s="54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</row>
    <row r="593">
      <c r="A593" s="51"/>
      <c r="B593" s="51"/>
      <c r="C593" s="51"/>
      <c r="D593" s="51"/>
      <c r="E593" s="51"/>
      <c r="F593" s="54"/>
      <c r="G593" s="55"/>
      <c r="H593" s="54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</row>
    <row r="594">
      <c r="A594" s="51"/>
      <c r="B594" s="51"/>
      <c r="C594" s="51"/>
      <c r="D594" s="51"/>
      <c r="E594" s="51"/>
      <c r="F594" s="54"/>
      <c r="G594" s="55"/>
      <c r="H594" s="54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</row>
    <row r="595">
      <c r="A595" s="51"/>
      <c r="B595" s="51"/>
      <c r="C595" s="51"/>
      <c r="D595" s="51"/>
      <c r="E595" s="51"/>
      <c r="F595" s="54"/>
      <c r="G595" s="55"/>
      <c r="H595" s="54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</row>
    <row r="596">
      <c r="A596" s="51"/>
      <c r="B596" s="51"/>
      <c r="C596" s="51"/>
      <c r="D596" s="51"/>
      <c r="E596" s="51"/>
      <c r="F596" s="54"/>
      <c r="G596" s="55"/>
      <c r="H596" s="54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</row>
    <row r="597">
      <c r="A597" s="51"/>
      <c r="B597" s="51"/>
      <c r="C597" s="51"/>
      <c r="D597" s="51"/>
      <c r="E597" s="51"/>
      <c r="F597" s="54"/>
      <c r="G597" s="55"/>
      <c r="H597" s="54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</row>
    <row r="598">
      <c r="A598" s="51"/>
      <c r="B598" s="51"/>
      <c r="C598" s="51"/>
      <c r="D598" s="51"/>
      <c r="E598" s="51"/>
      <c r="F598" s="54"/>
      <c r="G598" s="55"/>
      <c r="H598" s="54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</row>
    <row r="599">
      <c r="A599" s="51"/>
      <c r="B599" s="51"/>
      <c r="C599" s="51"/>
      <c r="D599" s="51"/>
      <c r="E599" s="51"/>
      <c r="F599" s="54"/>
      <c r="G599" s="55"/>
      <c r="H599" s="54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</row>
    <row r="600">
      <c r="A600" s="51"/>
      <c r="B600" s="51"/>
      <c r="C600" s="51"/>
      <c r="D600" s="51"/>
      <c r="E600" s="51"/>
      <c r="F600" s="54"/>
      <c r="G600" s="55"/>
      <c r="H600" s="54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</row>
    <row r="601">
      <c r="A601" s="51"/>
      <c r="B601" s="51"/>
      <c r="C601" s="51"/>
      <c r="D601" s="51"/>
      <c r="E601" s="51"/>
      <c r="F601" s="54"/>
      <c r="G601" s="55"/>
      <c r="H601" s="54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</row>
    <row r="602">
      <c r="A602" s="51"/>
      <c r="B602" s="51"/>
      <c r="C602" s="51"/>
      <c r="D602" s="51"/>
      <c r="E602" s="51"/>
      <c r="F602" s="54"/>
      <c r="G602" s="55"/>
      <c r="H602" s="54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</row>
    <row r="603">
      <c r="A603" s="51"/>
      <c r="B603" s="51"/>
      <c r="C603" s="51"/>
      <c r="D603" s="51"/>
      <c r="E603" s="51"/>
      <c r="F603" s="54"/>
      <c r="G603" s="55"/>
      <c r="H603" s="54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</row>
    <row r="604">
      <c r="A604" s="51"/>
      <c r="B604" s="51"/>
      <c r="C604" s="51"/>
      <c r="D604" s="51"/>
      <c r="E604" s="51"/>
      <c r="F604" s="54"/>
      <c r="G604" s="55"/>
      <c r="H604" s="54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</row>
    <row r="605">
      <c r="A605" s="51"/>
      <c r="B605" s="51"/>
      <c r="C605" s="51"/>
      <c r="D605" s="51"/>
      <c r="E605" s="51"/>
      <c r="F605" s="54"/>
      <c r="G605" s="55"/>
      <c r="H605" s="54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</row>
    <row r="606">
      <c r="A606" s="51"/>
      <c r="B606" s="51"/>
      <c r="C606" s="51"/>
      <c r="D606" s="51"/>
      <c r="E606" s="51"/>
      <c r="F606" s="54"/>
      <c r="G606" s="55"/>
      <c r="H606" s="54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</row>
    <row r="607">
      <c r="A607" s="51"/>
      <c r="B607" s="51"/>
      <c r="C607" s="51"/>
      <c r="D607" s="51"/>
      <c r="E607" s="51"/>
      <c r="F607" s="54"/>
      <c r="G607" s="55"/>
      <c r="H607" s="54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</row>
    <row r="608">
      <c r="A608" s="51"/>
      <c r="B608" s="51"/>
      <c r="C608" s="51"/>
      <c r="D608" s="51"/>
      <c r="E608" s="51"/>
      <c r="F608" s="54"/>
      <c r="G608" s="55"/>
      <c r="H608" s="54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</row>
    <row r="609">
      <c r="A609" s="51"/>
      <c r="B609" s="51"/>
      <c r="C609" s="51"/>
      <c r="D609" s="51"/>
      <c r="E609" s="51"/>
      <c r="F609" s="54"/>
      <c r="G609" s="55"/>
      <c r="H609" s="54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</row>
    <row r="610">
      <c r="A610" s="51"/>
      <c r="B610" s="51"/>
      <c r="C610" s="51"/>
      <c r="D610" s="51"/>
      <c r="E610" s="51"/>
      <c r="F610" s="54"/>
      <c r="G610" s="55"/>
      <c r="H610" s="54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</row>
    <row r="611">
      <c r="A611" s="51"/>
      <c r="B611" s="51"/>
      <c r="C611" s="51"/>
      <c r="D611" s="51"/>
      <c r="E611" s="51"/>
      <c r="F611" s="54"/>
      <c r="G611" s="55"/>
      <c r="H611" s="54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</row>
    <row r="612">
      <c r="A612" s="51"/>
      <c r="B612" s="51"/>
      <c r="C612" s="51"/>
      <c r="D612" s="51"/>
      <c r="E612" s="51"/>
      <c r="F612" s="54"/>
      <c r="G612" s="55"/>
      <c r="H612" s="54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</row>
    <row r="613">
      <c r="A613" s="51"/>
      <c r="B613" s="51"/>
      <c r="C613" s="51"/>
      <c r="D613" s="51"/>
      <c r="E613" s="51"/>
      <c r="F613" s="54"/>
      <c r="G613" s="55"/>
      <c r="H613" s="54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</row>
    <row r="614">
      <c r="A614" s="51"/>
      <c r="B614" s="51"/>
      <c r="C614" s="51"/>
      <c r="D614" s="51"/>
      <c r="E614" s="51"/>
      <c r="F614" s="54"/>
      <c r="G614" s="55"/>
      <c r="H614" s="54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</row>
    <row r="615">
      <c r="A615" s="51"/>
      <c r="B615" s="51"/>
      <c r="C615" s="51"/>
      <c r="D615" s="51"/>
      <c r="E615" s="51"/>
      <c r="F615" s="54"/>
      <c r="G615" s="55"/>
      <c r="H615" s="54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</row>
    <row r="616">
      <c r="A616" s="51"/>
      <c r="B616" s="51"/>
      <c r="C616" s="51"/>
      <c r="D616" s="51"/>
      <c r="E616" s="51"/>
      <c r="F616" s="54"/>
      <c r="G616" s="55"/>
      <c r="H616" s="54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</row>
    <row r="617">
      <c r="A617" s="51"/>
      <c r="B617" s="51"/>
      <c r="C617" s="51"/>
      <c r="D617" s="51"/>
      <c r="E617" s="51"/>
      <c r="F617" s="54"/>
      <c r="G617" s="55"/>
      <c r="H617" s="54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</row>
    <row r="618">
      <c r="A618" s="51"/>
      <c r="B618" s="51"/>
      <c r="C618" s="51"/>
      <c r="D618" s="51"/>
      <c r="E618" s="51"/>
      <c r="F618" s="54"/>
      <c r="G618" s="55"/>
      <c r="H618" s="54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</row>
    <row r="619">
      <c r="A619" s="51"/>
      <c r="B619" s="51"/>
      <c r="C619" s="51"/>
      <c r="D619" s="51"/>
      <c r="E619" s="51"/>
      <c r="F619" s="54"/>
      <c r="G619" s="55"/>
      <c r="H619" s="54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</row>
    <row r="620">
      <c r="A620" s="51"/>
      <c r="B620" s="51"/>
      <c r="C620" s="51"/>
      <c r="D620" s="51"/>
      <c r="E620" s="51"/>
      <c r="F620" s="54"/>
      <c r="G620" s="55"/>
      <c r="H620" s="54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</row>
    <row r="621">
      <c r="A621" s="51"/>
      <c r="B621" s="51"/>
      <c r="C621" s="51"/>
      <c r="D621" s="51"/>
      <c r="E621" s="51"/>
      <c r="F621" s="54"/>
      <c r="G621" s="55"/>
      <c r="H621" s="54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</row>
    <row r="622">
      <c r="A622" s="51"/>
      <c r="B622" s="51"/>
      <c r="C622" s="51"/>
      <c r="D622" s="51"/>
      <c r="E622" s="51"/>
      <c r="F622" s="54"/>
      <c r="G622" s="55"/>
      <c r="H622" s="54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</row>
    <row r="623">
      <c r="A623" s="51"/>
      <c r="B623" s="51"/>
      <c r="C623" s="51"/>
      <c r="D623" s="51"/>
      <c r="E623" s="51"/>
      <c r="F623" s="54"/>
      <c r="G623" s="55"/>
      <c r="H623" s="54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</row>
    <row r="624">
      <c r="A624" s="51"/>
      <c r="B624" s="51"/>
      <c r="C624" s="51"/>
      <c r="D624" s="51"/>
      <c r="E624" s="51"/>
      <c r="F624" s="54"/>
      <c r="G624" s="55"/>
      <c r="H624" s="54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</row>
    <row r="625">
      <c r="A625" s="51"/>
      <c r="B625" s="51"/>
      <c r="C625" s="51"/>
      <c r="D625" s="51"/>
      <c r="E625" s="51"/>
      <c r="F625" s="54"/>
      <c r="G625" s="55"/>
      <c r="H625" s="54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</row>
    <row r="626">
      <c r="A626" s="51"/>
      <c r="B626" s="51"/>
      <c r="C626" s="51"/>
      <c r="D626" s="51"/>
      <c r="E626" s="51"/>
      <c r="F626" s="54"/>
      <c r="G626" s="55"/>
      <c r="H626" s="54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</row>
    <row r="627">
      <c r="A627" s="51"/>
      <c r="B627" s="51"/>
      <c r="C627" s="51"/>
      <c r="D627" s="51"/>
      <c r="E627" s="51"/>
      <c r="F627" s="54"/>
      <c r="G627" s="55"/>
      <c r="H627" s="54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</row>
    <row r="628">
      <c r="A628" s="51"/>
      <c r="B628" s="51"/>
      <c r="C628" s="51"/>
      <c r="D628" s="51"/>
      <c r="E628" s="51"/>
      <c r="F628" s="54"/>
      <c r="G628" s="55"/>
      <c r="H628" s="54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</row>
    <row r="629">
      <c r="A629" s="51"/>
      <c r="B629" s="51"/>
      <c r="C629" s="51"/>
      <c r="D629" s="51"/>
      <c r="E629" s="51"/>
      <c r="F629" s="54"/>
      <c r="G629" s="55"/>
      <c r="H629" s="54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</row>
    <row r="630">
      <c r="A630" s="51"/>
      <c r="B630" s="51"/>
      <c r="C630" s="51"/>
      <c r="D630" s="51"/>
      <c r="E630" s="51"/>
      <c r="F630" s="54"/>
      <c r="G630" s="55"/>
      <c r="H630" s="54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</row>
    <row r="631">
      <c r="A631" s="51"/>
      <c r="B631" s="51"/>
      <c r="C631" s="51"/>
      <c r="D631" s="51"/>
      <c r="E631" s="51"/>
      <c r="F631" s="54"/>
      <c r="G631" s="55"/>
      <c r="H631" s="54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</row>
    <row r="632">
      <c r="A632" s="51"/>
      <c r="B632" s="51"/>
      <c r="C632" s="51"/>
      <c r="D632" s="51"/>
      <c r="E632" s="51"/>
      <c r="F632" s="54"/>
      <c r="G632" s="55"/>
      <c r="H632" s="54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</row>
    <row r="633">
      <c r="A633" s="51"/>
      <c r="B633" s="51"/>
      <c r="C633" s="51"/>
      <c r="D633" s="51"/>
      <c r="E633" s="51"/>
      <c r="F633" s="54"/>
      <c r="G633" s="55"/>
      <c r="H633" s="54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</row>
    <row r="634">
      <c r="A634" s="51"/>
      <c r="B634" s="51"/>
      <c r="C634" s="51"/>
      <c r="D634" s="51"/>
      <c r="E634" s="51"/>
      <c r="F634" s="54"/>
      <c r="G634" s="55"/>
      <c r="H634" s="54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</row>
    <row r="635">
      <c r="A635" s="51"/>
      <c r="B635" s="51"/>
      <c r="C635" s="51"/>
      <c r="D635" s="51"/>
      <c r="E635" s="51"/>
      <c r="F635" s="54"/>
      <c r="G635" s="55"/>
      <c r="H635" s="54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</row>
    <row r="636">
      <c r="A636" s="51"/>
      <c r="B636" s="51"/>
      <c r="C636" s="51"/>
      <c r="D636" s="51"/>
      <c r="E636" s="51"/>
      <c r="F636" s="54"/>
      <c r="G636" s="55"/>
      <c r="H636" s="54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</row>
    <row r="637">
      <c r="A637" s="51"/>
      <c r="B637" s="51"/>
      <c r="C637" s="51"/>
      <c r="D637" s="51"/>
      <c r="E637" s="51"/>
      <c r="F637" s="54"/>
      <c r="G637" s="55"/>
      <c r="H637" s="54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</row>
    <row r="638">
      <c r="A638" s="51"/>
      <c r="B638" s="51"/>
      <c r="C638" s="51"/>
      <c r="D638" s="51"/>
      <c r="E638" s="51"/>
      <c r="F638" s="54"/>
      <c r="G638" s="55"/>
      <c r="H638" s="54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</row>
    <row r="639">
      <c r="A639" s="51"/>
      <c r="B639" s="51"/>
      <c r="C639" s="51"/>
      <c r="D639" s="51"/>
      <c r="E639" s="51"/>
      <c r="F639" s="54"/>
      <c r="G639" s="55"/>
      <c r="H639" s="54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</row>
    <row r="640">
      <c r="A640" s="51"/>
      <c r="B640" s="51"/>
      <c r="C640" s="51"/>
      <c r="D640" s="51"/>
      <c r="E640" s="51"/>
      <c r="F640" s="54"/>
      <c r="G640" s="55"/>
      <c r="H640" s="54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</row>
    <row r="641">
      <c r="A641" s="51"/>
      <c r="B641" s="51"/>
      <c r="C641" s="51"/>
      <c r="D641" s="51"/>
      <c r="E641" s="51"/>
      <c r="F641" s="54"/>
      <c r="G641" s="55"/>
      <c r="H641" s="54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</row>
    <row r="642">
      <c r="A642" s="51"/>
      <c r="B642" s="51"/>
      <c r="C642" s="51"/>
      <c r="D642" s="51"/>
      <c r="E642" s="51"/>
      <c r="F642" s="54"/>
      <c r="G642" s="55"/>
      <c r="H642" s="54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</row>
    <row r="643">
      <c r="A643" s="51"/>
      <c r="B643" s="51"/>
      <c r="C643" s="51"/>
      <c r="D643" s="51"/>
      <c r="E643" s="51"/>
      <c r="F643" s="54"/>
      <c r="G643" s="55"/>
      <c r="H643" s="54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</row>
    <row r="644">
      <c r="A644" s="51"/>
      <c r="B644" s="51"/>
      <c r="C644" s="51"/>
      <c r="D644" s="51"/>
      <c r="E644" s="51"/>
      <c r="F644" s="54"/>
      <c r="G644" s="55"/>
      <c r="H644" s="54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</row>
    <row r="645">
      <c r="A645" s="51"/>
      <c r="B645" s="51"/>
      <c r="C645" s="51"/>
      <c r="D645" s="51"/>
      <c r="E645" s="51"/>
      <c r="F645" s="54"/>
      <c r="G645" s="55"/>
      <c r="H645" s="54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</row>
    <row r="646">
      <c r="A646" s="51"/>
      <c r="B646" s="51"/>
      <c r="C646" s="51"/>
      <c r="D646" s="51"/>
      <c r="E646" s="51"/>
      <c r="F646" s="54"/>
      <c r="G646" s="55"/>
      <c r="H646" s="54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</row>
    <row r="647">
      <c r="A647" s="51"/>
      <c r="B647" s="51"/>
      <c r="C647" s="51"/>
      <c r="D647" s="51"/>
      <c r="E647" s="51"/>
      <c r="F647" s="54"/>
      <c r="G647" s="55"/>
      <c r="H647" s="54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</row>
    <row r="648">
      <c r="A648" s="51"/>
      <c r="B648" s="51"/>
      <c r="C648" s="51"/>
      <c r="D648" s="51"/>
      <c r="E648" s="51"/>
      <c r="F648" s="54"/>
      <c r="G648" s="55"/>
      <c r="H648" s="54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</row>
    <row r="649">
      <c r="A649" s="51"/>
      <c r="B649" s="51"/>
      <c r="C649" s="51"/>
      <c r="D649" s="51"/>
      <c r="E649" s="51"/>
      <c r="F649" s="54"/>
      <c r="G649" s="55"/>
      <c r="H649" s="54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</row>
    <row r="650">
      <c r="A650" s="51"/>
      <c r="B650" s="51"/>
      <c r="C650" s="51"/>
      <c r="D650" s="51"/>
      <c r="E650" s="51"/>
      <c r="F650" s="54"/>
      <c r="G650" s="55"/>
      <c r="H650" s="54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</row>
    <row r="651">
      <c r="A651" s="51"/>
      <c r="B651" s="51"/>
      <c r="C651" s="51"/>
      <c r="D651" s="51"/>
      <c r="E651" s="51"/>
      <c r="F651" s="54"/>
      <c r="G651" s="55"/>
      <c r="H651" s="54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</row>
    <row r="652">
      <c r="A652" s="51"/>
      <c r="B652" s="51"/>
      <c r="C652" s="51"/>
      <c r="D652" s="51"/>
      <c r="E652" s="51"/>
      <c r="F652" s="54"/>
      <c r="G652" s="55"/>
      <c r="H652" s="54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</row>
    <row r="653">
      <c r="A653" s="51"/>
      <c r="B653" s="51"/>
      <c r="C653" s="51"/>
      <c r="D653" s="51"/>
      <c r="E653" s="51"/>
      <c r="F653" s="54"/>
      <c r="G653" s="55"/>
      <c r="H653" s="54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</row>
    <row r="654">
      <c r="A654" s="51"/>
      <c r="B654" s="51"/>
      <c r="C654" s="51"/>
      <c r="D654" s="51"/>
      <c r="E654" s="51"/>
      <c r="F654" s="54"/>
      <c r="G654" s="55"/>
      <c r="H654" s="54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</row>
    <row r="655">
      <c r="A655" s="51"/>
      <c r="B655" s="51"/>
      <c r="C655" s="51"/>
      <c r="D655" s="51"/>
      <c r="E655" s="51"/>
      <c r="F655" s="54"/>
      <c r="G655" s="55"/>
      <c r="H655" s="54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</row>
    <row r="656">
      <c r="A656" s="51"/>
      <c r="B656" s="51"/>
      <c r="C656" s="51"/>
      <c r="D656" s="51"/>
      <c r="E656" s="51"/>
      <c r="F656" s="54"/>
      <c r="G656" s="55"/>
      <c r="H656" s="54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</row>
    <row r="657">
      <c r="A657" s="51"/>
      <c r="B657" s="51"/>
      <c r="C657" s="51"/>
      <c r="D657" s="51"/>
      <c r="E657" s="51"/>
      <c r="F657" s="54"/>
      <c r="G657" s="55"/>
      <c r="H657" s="54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</row>
    <row r="658">
      <c r="A658" s="51"/>
      <c r="B658" s="51"/>
      <c r="C658" s="51"/>
      <c r="D658" s="51"/>
      <c r="E658" s="51"/>
      <c r="F658" s="54"/>
      <c r="G658" s="55"/>
      <c r="H658" s="54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</row>
    <row r="659">
      <c r="A659" s="51"/>
      <c r="B659" s="51"/>
      <c r="C659" s="51"/>
      <c r="D659" s="51"/>
      <c r="E659" s="51"/>
      <c r="F659" s="54"/>
      <c r="G659" s="55"/>
      <c r="H659" s="54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</row>
    <row r="660">
      <c r="A660" s="51"/>
      <c r="B660" s="51"/>
      <c r="C660" s="51"/>
      <c r="D660" s="51"/>
      <c r="E660" s="51"/>
      <c r="F660" s="54"/>
      <c r="G660" s="55"/>
      <c r="H660" s="54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</row>
    <row r="661">
      <c r="A661" s="51"/>
      <c r="B661" s="51"/>
      <c r="C661" s="51"/>
      <c r="D661" s="51"/>
      <c r="E661" s="51"/>
      <c r="F661" s="54"/>
      <c r="G661" s="55"/>
      <c r="H661" s="54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</row>
    <row r="662">
      <c r="A662" s="51"/>
      <c r="B662" s="51"/>
      <c r="C662" s="51"/>
      <c r="D662" s="51"/>
      <c r="E662" s="51"/>
      <c r="F662" s="54"/>
      <c r="G662" s="55"/>
      <c r="H662" s="54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</row>
    <row r="663">
      <c r="A663" s="51"/>
      <c r="B663" s="51"/>
      <c r="C663" s="51"/>
      <c r="D663" s="51"/>
      <c r="E663" s="51"/>
      <c r="F663" s="54"/>
      <c r="G663" s="55"/>
      <c r="H663" s="54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</row>
    <row r="664">
      <c r="A664" s="51"/>
      <c r="B664" s="51"/>
      <c r="C664" s="51"/>
      <c r="D664" s="51"/>
      <c r="E664" s="51"/>
      <c r="F664" s="54"/>
      <c r="G664" s="55"/>
      <c r="H664" s="54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</row>
    <row r="665">
      <c r="A665" s="51"/>
      <c r="B665" s="51"/>
      <c r="C665" s="51"/>
      <c r="D665" s="51"/>
      <c r="E665" s="51"/>
      <c r="F665" s="54"/>
      <c r="G665" s="55"/>
      <c r="H665" s="54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</row>
    <row r="666">
      <c r="A666" s="51"/>
      <c r="B666" s="51"/>
      <c r="C666" s="51"/>
      <c r="D666" s="51"/>
      <c r="E666" s="51"/>
      <c r="F666" s="54"/>
      <c r="G666" s="55"/>
      <c r="H666" s="54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</row>
    <row r="667">
      <c r="A667" s="51"/>
      <c r="B667" s="51"/>
      <c r="C667" s="51"/>
      <c r="D667" s="51"/>
      <c r="E667" s="51"/>
      <c r="F667" s="54"/>
      <c r="G667" s="55"/>
      <c r="H667" s="54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</row>
    <row r="668">
      <c r="A668" s="51"/>
      <c r="B668" s="51"/>
      <c r="C668" s="51"/>
      <c r="D668" s="51"/>
      <c r="E668" s="51"/>
      <c r="F668" s="54"/>
      <c r="G668" s="55"/>
      <c r="H668" s="54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</row>
    <row r="669">
      <c r="A669" s="51"/>
      <c r="B669" s="51"/>
      <c r="C669" s="51"/>
      <c r="D669" s="51"/>
      <c r="E669" s="51"/>
      <c r="F669" s="54"/>
      <c r="G669" s="55"/>
      <c r="H669" s="54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</row>
    <row r="670">
      <c r="A670" s="51"/>
      <c r="B670" s="51"/>
      <c r="C670" s="51"/>
      <c r="D670" s="51"/>
      <c r="E670" s="51"/>
      <c r="F670" s="54"/>
      <c r="G670" s="55"/>
      <c r="H670" s="54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</row>
    <row r="671">
      <c r="A671" s="51"/>
      <c r="B671" s="51"/>
      <c r="C671" s="51"/>
      <c r="D671" s="51"/>
      <c r="E671" s="51"/>
      <c r="F671" s="54"/>
      <c r="G671" s="55"/>
      <c r="H671" s="54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</row>
    <row r="672">
      <c r="A672" s="51"/>
      <c r="B672" s="51"/>
      <c r="C672" s="51"/>
      <c r="D672" s="51"/>
      <c r="E672" s="51"/>
      <c r="F672" s="54"/>
      <c r="G672" s="55"/>
      <c r="H672" s="54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</row>
    <row r="673">
      <c r="A673" s="51"/>
      <c r="B673" s="51"/>
      <c r="C673" s="51"/>
      <c r="D673" s="51"/>
      <c r="E673" s="51"/>
      <c r="F673" s="54"/>
      <c r="G673" s="55"/>
      <c r="H673" s="54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</row>
    <row r="674">
      <c r="A674" s="51"/>
      <c r="B674" s="51"/>
      <c r="C674" s="51"/>
      <c r="D674" s="51"/>
      <c r="E674" s="51"/>
      <c r="F674" s="54"/>
      <c r="G674" s="55"/>
      <c r="H674" s="54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</row>
    <row r="675">
      <c r="A675" s="51"/>
      <c r="B675" s="51"/>
      <c r="C675" s="51"/>
      <c r="D675" s="51"/>
      <c r="E675" s="51"/>
      <c r="F675" s="54"/>
      <c r="G675" s="55"/>
      <c r="H675" s="54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</row>
    <row r="676">
      <c r="A676" s="51"/>
      <c r="B676" s="51"/>
      <c r="C676" s="51"/>
      <c r="D676" s="51"/>
      <c r="E676" s="51"/>
      <c r="F676" s="54"/>
      <c r="G676" s="55"/>
      <c r="H676" s="54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</row>
    <row r="677">
      <c r="A677" s="51"/>
      <c r="B677" s="51"/>
      <c r="C677" s="51"/>
      <c r="D677" s="51"/>
      <c r="E677" s="51"/>
      <c r="F677" s="54"/>
      <c r="G677" s="55"/>
      <c r="H677" s="54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</row>
    <row r="678">
      <c r="A678" s="51"/>
      <c r="B678" s="51"/>
      <c r="C678" s="51"/>
      <c r="D678" s="51"/>
      <c r="E678" s="51"/>
      <c r="F678" s="54"/>
      <c r="G678" s="55"/>
      <c r="H678" s="54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</row>
    <row r="679">
      <c r="A679" s="51"/>
      <c r="B679" s="51"/>
      <c r="C679" s="51"/>
      <c r="D679" s="51"/>
      <c r="E679" s="51"/>
      <c r="F679" s="54"/>
      <c r="G679" s="55"/>
      <c r="H679" s="54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</row>
    <row r="680">
      <c r="A680" s="51"/>
      <c r="B680" s="51"/>
      <c r="C680" s="51"/>
      <c r="D680" s="51"/>
      <c r="E680" s="51"/>
      <c r="F680" s="54"/>
      <c r="G680" s="55"/>
      <c r="H680" s="54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</row>
    <row r="681">
      <c r="A681" s="51"/>
      <c r="B681" s="51"/>
      <c r="C681" s="51"/>
      <c r="D681" s="51"/>
      <c r="E681" s="51"/>
      <c r="F681" s="54"/>
      <c r="G681" s="55"/>
      <c r="H681" s="54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</row>
    <row r="682">
      <c r="A682" s="51"/>
      <c r="B682" s="51"/>
      <c r="C682" s="51"/>
      <c r="D682" s="51"/>
      <c r="E682" s="51"/>
      <c r="F682" s="54"/>
      <c r="G682" s="55"/>
      <c r="H682" s="54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</row>
    <row r="683">
      <c r="A683" s="51"/>
      <c r="B683" s="51"/>
      <c r="C683" s="51"/>
      <c r="D683" s="51"/>
      <c r="E683" s="51"/>
      <c r="F683" s="54"/>
      <c r="G683" s="55"/>
      <c r="H683" s="54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</row>
    <row r="684">
      <c r="A684" s="51"/>
      <c r="B684" s="51"/>
      <c r="C684" s="51"/>
      <c r="D684" s="51"/>
      <c r="E684" s="51"/>
      <c r="F684" s="54"/>
      <c r="G684" s="55"/>
      <c r="H684" s="54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</row>
    <row r="685">
      <c r="A685" s="51"/>
      <c r="B685" s="51"/>
      <c r="C685" s="51"/>
      <c r="D685" s="51"/>
      <c r="E685" s="51"/>
      <c r="F685" s="54"/>
      <c r="G685" s="55"/>
      <c r="H685" s="54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</row>
    <row r="686">
      <c r="A686" s="51"/>
      <c r="B686" s="51"/>
      <c r="C686" s="51"/>
      <c r="D686" s="51"/>
      <c r="E686" s="51"/>
      <c r="F686" s="54"/>
      <c r="G686" s="55"/>
      <c r="H686" s="54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</row>
    <row r="687">
      <c r="A687" s="51"/>
      <c r="B687" s="51"/>
      <c r="C687" s="51"/>
      <c r="D687" s="51"/>
      <c r="E687" s="51"/>
      <c r="F687" s="54"/>
      <c r="G687" s="55"/>
      <c r="H687" s="54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</row>
    <row r="688">
      <c r="A688" s="51"/>
      <c r="B688" s="51"/>
      <c r="C688" s="51"/>
      <c r="D688" s="51"/>
      <c r="E688" s="51"/>
      <c r="F688" s="54"/>
      <c r="G688" s="55"/>
      <c r="H688" s="54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</row>
    <row r="689">
      <c r="A689" s="51"/>
      <c r="B689" s="51"/>
      <c r="C689" s="51"/>
      <c r="D689" s="51"/>
      <c r="E689" s="51"/>
      <c r="F689" s="54"/>
      <c r="G689" s="55"/>
      <c r="H689" s="54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</row>
    <row r="690">
      <c r="A690" s="51"/>
      <c r="B690" s="51"/>
      <c r="C690" s="51"/>
      <c r="D690" s="51"/>
      <c r="E690" s="51"/>
      <c r="F690" s="54"/>
      <c r="G690" s="55"/>
      <c r="H690" s="54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</row>
    <row r="691">
      <c r="A691" s="51"/>
      <c r="B691" s="51"/>
      <c r="C691" s="51"/>
      <c r="D691" s="51"/>
      <c r="E691" s="51"/>
      <c r="F691" s="54"/>
      <c r="G691" s="55"/>
      <c r="H691" s="54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</row>
    <row r="692">
      <c r="A692" s="51"/>
      <c r="B692" s="51"/>
      <c r="C692" s="51"/>
      <c r="D692" s="51"/>
      <c r="E692" s="51"/>
      <c r="F692" s="54"/>
      <c r="G692" s="55"/>
      <c r="H692" s="54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</row>
    <row r="693">
      <c r="A693" s="51"/>
      <c r="B693" s="51"/>
      <c r="C693" s="51"/>
      <c r="D693" s="51"/>
      <c r="E693" s="51"/>
      <c r="F693" s="54"/>
      <c r="G693" s="55"/>
      <c r="H693" s="54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</row>
    <row r="694">
      <c r="A694" s="51"/>
      <c r="B694" s="51"/>
      <c r="C694" s="51"/>
      <c r="D694" s="51"/>
      <c r="E694" s="51"/>
      <c r="F694" s="54"/>
      <c r="G694" s="55"/>
      <c r="H694" s="54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</row>
    <row r="695">
      <c r="A695" s="51"/>
      <c r="B695" s="51"/>
      <c r="C695" s="51"/>
      <c r="D695" s="51"/>
      <c r="E695" s="51"/>
      <c r="F695" s="54"/>
      <c r="G695" s="55"/>
      <c r="H695" s="54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</row>
    <row r="696">
      <c r="A696" s="51"/>
      <c r="B696" s="51"/>
      <c r="C696" s="51"/>
      <c r="D696" s="51"/>
      <c r="E696" s="51"/>
      <c r="F696" s="54"/>
      <c r="G696" s="55"/>
      <c r="H696" s="54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</row>
    <row r="697">
      <c r="A697" s="51"/>
      <c r="B697" s="51"/>
      <c r="C697" s="51"/>
      <c r="D697" s="51"/>
      <c r="E697" s="51"/>
      <c r="F697" s="54"/>
      <c r="G697" s="55"/>
      <c r="H697" s="54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</row>
    <row r="698">
      <c r="A698" s="51"/>
      <c r="B698" s="51"/>
      <c r="C698" s="51"/>
      <c r="D698" s="51"/>
      <c r="E698" s="51"/>
      <c r="F698" s="54"/>
      <c r="G698" s="55"/>
      <c r="H698" s="54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</row>
    <row r="699">
      <c r="A699" s="51"/>
      <c r="B699" s="51"/>
      <c r="C699" s="51"/>
      <c r="D699" s="51"/>
      <c r="E699" s="51"/>
      <c r="F699" s="54"/>
      <c r="G699" s="55"/>
      <c r="H699" s="54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</row>
    <row r="700">
      <c r="A700" s="51"/>
      <c r="B700" s="51"/>
      <c r="C700" s="51"/>
      <c r="D700" s="51"/>
      <c r="E700" s="51"/>
      <c r="F700" s="54"/>
      <c r="G700" s="55"/>
      <c r="H700" s="54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</row>
    <row r="701">
      <c r="A701" s="51"/>
      <c r="B701" s="51"/>
      <c r="C701" s="51"/>
      <c r="D701" s="51"/>
      <c r="E701" s="51"/>
      <c r="F701" s="54"/>
      <c r="G701" s="55"/>
      <c r="H701" s="54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</row>
    <row r="702">
      <c r="A702" s="51"/>
      <c r="B702" s="51"/>
      <c r="C702" s="51"/>
      <c r="D702" s="51"/>
      <c r="E702" s="51"/>
      <c r="F702" s="54"/>
      <c r="G702" s="55"/>
      <c r="H702" s="54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</row>
    <row r="703">
      <c r="A703" s="51"/>
      <c r="B703" s="51"/>
      <c r="C703" s="51"/>
      <c r="D703" s="51"/>
      <c r="E703" s="51"/>
      <c r="F703" s="54"/>
      <c r="G703" s="55"/>
      <c r="H703" s="54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</row>
    <row r="704">
      <c r="A704" s="51"/>
      <c r="B704" s="51"/>
      <c r="C704" s="51"/>
      <c r="D704" s="51"/>
      <c r="E704" s="51"/>
      <c r="F704" s="54"/>
      <c r="G704" s="55"/>
      <c r="H704" s="54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</row>
    <row r="705">
      <c r="A705" s="51"/>
      <c r="B705" s="51"/>
      <c r="C705" s="51"/>
      <c r="D705" s="51"/>
      <c r="E705" s="51"/>
      <c r="F705" s="54"/>
      <c r="G705" s="55"/>
      <c r="H705" s="54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</row>
    <row r="706">
      <c r="A706" s="51"/>
      <c r="B706" s="51"/>
      <c r="C706" s="51"/>
      <c r="D706" s="51"/>
      <c r="E706" s="51"/>
      <c r="F706" s="54"/>
      <c r="G706" s="55"/>
      <c r="H706" s="54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</row>
    <row r="707">
      <c r="A707" s="51"/>
      <c r="B707" s="51"/>
      <c r="C707" s="51"/>
      <c r="D707" s="51"/>
      <c r="E707" s="51"/>
      <c r="F707" s="54"/>
      <c r="G707" s="55"/>
      <c r="H707" s="54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</row>
    <row r="708">
      <c r="A708" s="51"/>
      <c r="B708" s="51"/>
      <c r="C708" s="51"/>
      <c r="D708" s="51"/>
      <c r="E708" s="51"/>
      <c r="F708" s="54"/>
      <c r="G708" s="55"/>
      <c r="H708" s="54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</row>
    <row r="709">
      <c r="A709" s="51"/>
      <c r="B709" s="51"/>
      <c r="C709" s="51"/>
      <c r="D709" s="51"/>
      <c r="E709" s="51"/>
      <c r="F709" s="54"/>
      <c r="G709" s="55"/>
      <c r="H709" s="54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</row>
    <row r="710">
      <c r="A710" s="51"/>
      <c r="B710" s="51"/>
      <c r="C710" s="51"/>
      <c r="D710" s="51"/>
      <c r="E710" s="51"/>
      <c r="F710" s="54"/>
      <c r="G710" s="55"/>
      <c r="H710" s="54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</row>
    <row r="711">
      <c r="A711" s="51"/>
      <c r="B711" s="51"/>
      <c r="C711" s="51"/>
      <c r="D711" s="51"/>
      <c r="E711" s="51"/>
      <c r="F711" s="54"/>
      <c r="G711" s="55"/>
      <c r="H711" s="54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</row>
    <row r="712">
      <c r="A712" s="51"/>
      <c r="B712" s="51"/>
      <c r="C712" s="51"/>
      <c r="D712" s="51"/>
      <c r="E712" s="51"/>
      <c r="F712" s="54"/>
      <c r="G712" s="55"/>
      <c r="H712" s="54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</row>
    <row r="713">
      <c r="A713" s="51"/>
      <c r="B713" s="51"/>
      <c r="C713" s="51"/>
      <c r="D713" s="51"/>
      <c r="E713" s="51"/>
      <c r="F713" s="54"/>
      <c r="G713" s="55"/>
      <c r="H713" s="54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</row>
    <row r="714">
      <c r="A714" s="51"/>
      <c r="B714" s="51"/>
      <c r="C714" s="51"/>
      <c r="D714" s="51"/>
      <c r="E714" s="51"/>
      <c r="F714" s="54"/>
      <c r="G714" s="55"/>
      <c r="H714" s="54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</row>
    <row r="715">
      <c r="A715" s="51"/>
      <c r="B715" s="51"/>
      <c r="C715" s="51"/>
      <c r="D715" s="51"/>
      <c r="E715" s="51"/>
      <c r="F715" s="54"/>
      <c r="G715" s="55"/>
      <c r="H715" s="54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</row>
    <row r="716">
      <c r="A716" s="51"/>
      <c r="B716" s="51"/>
      <c r="C716" s="51"/>
      <c r="D716" s="51"/>
      <c r="E716" s="51"/>
      <c r="F716" s="54"/>
      <c r="G716" s="55"/>
      <c r="H716" s="54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</row>
    <row r="717">
      <c r="A717" s="51"/>
      <c r="B717" s="51"/>
      <c r="C717" s="51"/>
      <c r="D717" s="51"/>
      <c r="E717" s="51"/>
      <c r="F717" s="54"/>
      <c r="G717" s="55"/>
      <c r="H717" s="54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</row>
    <row r="718">
      <c r="A718" s="51"/>
      <c r="B718" s="51"/>
      <c r="C718" s="51"/>
      <c r="D718" s="51"/>
      <c r="E718" s="51"/>
      <c r="F718" s="54"/>
      <c r="G718" s="55"/>
      <c r="H718" s="54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</row>
    <row r="719">
      <c r="A719" s="51"/>
      <c r="B719" s="51"/>
      <c r="C719" s="51"/>
      <c r="D719" s="51"/>
      <c r="E719" s="51"/>
      <c r="F719" s="54"/>
      <c r="G719" s="55"/>
      <c r="H719" s="54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</row>
    <row r="720">
      <c r="A720" s="51"/>
      <c r="B720" s="51"/>
      <c r="C720" s="51"/>
      <c r="D720" s="51"/>
      <c r="E720" s="51"/>
      <c r="F720" s="54"/>
      <c r="G720" s="55"/>
      <c r="H720" s="54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</row>
    <row r="721">
      <c r="A721" s="51"/>
      <c r="B721" s="51"/>
      <c r="C721" s="51"/>
      <c r="D721" s="51"/>
      <c r="E721" s="51"/>
      <c r="F721" s="54"/>
      <c r="G721" s="55"/>
      <c r="H721" s="54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</row>
    <row r="722">
      <c r="A722" s="51"/>
      <c r="B722" s="51"/>
      <c r="C722" s="51"/>
      <c r="D722" s="51"/>
      <c r="E722" s="51"/>
      <c r="F722" s="54"/>
      <c r="G722" s="55"/>
      <c r="H722" s="54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</row>
    <row r="723">
      <c r="A723" s="51"/>
      <c r="B723" s="51"/>
      <c r="C723" s="51"/>
      <c r="D723" s="51"/>
      <c r="E723" s="51"/>
      <c r="F723" s="54"/>
      <c r="G723" s="55"/>
      <c r="H723" s="54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</row>
    <row r="724">
      <c r="A724" s="51"/>
      <c r="B724" s="51"/>
      <c r="C724" s="51"/>
      <c r="D724" s="51"/>
      <c r="E724" s="51"/>
      <c r="F724" s="54"/>
      <c r="G724" s="55"/>
      <c r="H724" s="54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</row>
    <row r="725">
      <c r="A725" s="51"/>
      <c r="B725" s="51"/>
      <c r="C725" s="51"/>
      <c r="D725" s="51"/>
      <c r="E725" s="51"/>
      <c r="F725" s="54"/>
      <c r="G725" s="55"/>
      <c r="H725" s="54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</row>
    <row r="726">
      <c r="A726" s="51"/>
      <c r="B726" s="51"/>
      <c r="C726" s="51"/>
      <c r="D726" s="51"/>
      <c r="E726" s="51"/>
      <c r="F726" s="54"/>
      <c r="G726" s="55"/>
      <c r="H726" s="54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</row>
    <row r="727">
      <c r="A727" s="51"/>
      <c r="B727" s="51"/>
      <c r="C727" s="51"/>
      <c r="D727" s="51"/>
      <c r="E727" s="51"/>
      <c r="F727" s="54"/>
      <c r="G727" s="55"/>
      <c r="H727" s="54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</row>
    <row r="728">
      <c r="A728" s="51"/>
      <c r="B728" s="51"/>
      <c r="C728" s="51"/>
      <c r="D728" s="51"/>
      <c r="E728" s="51"/>
      <c r="F728" s="54"/>
      <c r="G728" s="55"/>
      <c r="H728" s="54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</row>
    <row r="729">
      <c r="A729" s="51"/>
      <c r="B729" s="51"/>
      <c r="C729" s="51"/>
      <c r="D729" s="51"/>
      <c r="E729" s="51"/>
      <c r="F729" s="54"/>
      <c r="G729" s="55"/>
      <c r="H729" s="54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</row>
    <row r="730">
      <c r="A730" s="51"/>
      <c r="B730" s="51"/>
      <c r="C730" s="51"/>
      <c r="D730" s="51"/>
      <c r="E730" s="51"/>
      <c r="F730" s="54"/>
      <c r="G730" s="55"/>
      <c r="H730" s="54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</row>
    <row r="731">
      <c r="A731" s="51"/>
      <c r="B731" s="51"/>
      <c r="C731" s="51"/>
      <c r="D731" s="51"/>
      <c r="E731" s="51"/>
      <c r="F731" s="54"/>
      <c r="G731" s="55"/>
      <c r="H731" s="54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</row>
    <row r="732">
      <c r="A732" s="51"/>
      <c r="B732" s="51"/>
      <c r="C732" s="51"/>
      <c r="D732" s="51"/>
      <c r="E732" s="51"/>
      <c r="F732" s="54"/>
      <c r="G732" s="55"/>
      <c r="H732" s="54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</row>
    <row r="733">
      <c r="A733" s="51"/>
      <c r="B733" s="51"/>
      <c r="C733" s="51"/>
      <c r="D733" s="51"/>
      <c r="E733" s="51"/>
      <c r="F733" s="54"/>
      <c r="G733" s="55"/>
      <c r="H733" s="54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</row>
    <row r="734">
      <c r="A734" s="51"/>
      <c r="B734" s="51"/>
      <c r="C734" s="51"/>
      <c r="D734" s="51"/>
      <c r="E734" s="51"/>
      <c r="F734" s="54"/>
      <c r="G734" s="55"/>
      <c r="H734" s="54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</row>
    <row r="735">
      <c r="A735" s="51"/>
      <c r="B735" s="51"/>
      <c r="C735" s="51"/>
      <c r="D735" s="51"/>
      <c r="E735" s="51"/>
      <c r="F735" s="54"/>
      <c r="G735" s="55"/>
      <c r="H735" s="54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</row>
    <row r="736">
      <c r="A736" s="51"/>
      <c r="B736" s="51"/>
      <c r="C736" s="51"/>
      <c r="D736" s="51"/>
      <c r="E736" s="51"/>
      <c r="F736" s="54"/>
      <c r="G736" s="55"/>
      <c r="H736" s="54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</row>
    <row r="737">
      <c r="A737" s="51"/>
      <c r="B737" s="51"/>
      <c r="C737" s="51"/>
      <c r="D737" s="51"/>
      <c r="E737" s="51"/>
      <c r="F737" s="54"/>
      <c r="G737" s="55"/>
      <c r="H737" s="54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</row>
    <row r="738">
      <c r="A738" s="51"/>
      <c r="B738" s="51"/>
      <c r="C738" s="51"/>
      <c r="D738" s="51"/>
      <c r="E738" s="51"/>
      <c r="F738" s="54"/>
      <c r="G738" s="55"/>
      <c r="H738" s="54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</row>
    <row r="739">
      <c r="A739" s="51"/>
      <c r="B739" s="51"/>
      <c r="C739" s="51"/>
      <c r="D739" s="51"/>
      <c r="E739" s="51"/>
      <c r="F739" s="54"/>
      <c r="G739" s="55"/>
      <c r="H739" s="54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</row>
    <row r="740">
      <c r="A740" s="51"/>
      <c r="B740" s="51"/>
      <c r="C740" s="51"/>
      <c r="D740" s="51"/>
      <c r="E740" s="51"/>
      <c r="F740" s="54"/>
      <c r="G740" s="55"/>
      <c r="H740" s="54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</row>
    <row r="741">
      <c r="A741" s="51"/>
      <c r="B741" s="51"/>
      <c r="C741" s="51"/>
      <c r="D741" s="51"/>
      <c r="E741" s="51"/>
      <c r="F741" s="54"/>
      <c r="G741" s="55"/>
      <c r="H741" s="54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</row>
    <row r="742">
      <c r="A742" s="51"/>
      <c r="B742" s="51"/>
      <c r="C742" s="51"/>
      <c r="D742" s="51"/>
      <c r="E742" s="51"/>
      <c r="F742" s="54"/>
      <c r="G742" s="55"/>
      <c r="H742" s="54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</row>
    <row r="743">
      <c r="A743" s="51"/>
      <c r="B743" s="51"/>
      <c r="C743" s="51"/>
      <c r="D743" s="51"/>
      <c r="E743" s="51"/>
      <c r="F743" s="54"/>
      <c r="G743" s="55"/>
      <c r="H743" s="54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</row>
    <row r="744">
      <c r="A744" s="51"/>
      <c r="B744" s="51"/>
      <c r="C744" s="51"/>
      <c r="D744" s="51"/>
      <c r="E744" s="51"/>
      <c r="F744" s="54"/>
      <c r="G744" s="55"/>
      <c r="H744" s="54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</row>
    <row r="745">
      <c r="A745" s="51"/>
      <c r="B745" s="51"/>
      <c r="C745" s="51"/>
      <c r="D745" s="51"/>
      <c r="E745" s="51"/>
      <c r="F745" s="54"/>
      <c r="G745" s="55"/>
      <c r="H745" s="54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</row>
    <row r="746">
      <c r="A746" s="51"/>
      <c r="B746" s="51"/>
      <c r="C746" s="51"/>
      <c r="D746" s="51"/>
      <c r="E746" s="51"/>
      <c r="F746" s="54"/>
      <c r="G746" s="55"/>
      <c r="H746" s="54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</row>
    <row r="747">
      <c r="A747" s="51"/>
      <c r="B747" s="51"/>
      <c r="C747" s="51"/>
      <c r="D747" s="51"/>
      <c r="E747" s="51"/>
      <c r="F747" s="54"/>
      <c r="G747" s="55"/>
      <c r="H747" s="54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</row>
    <row r="748">
      <c r="A748" s="51"/>
      <c r="B748" s="51"/>
      <c r="C748" s="51"/>
      <c r="D748" s="51"/>
      <c r="E748" s="51"/>
      <c r="F748" s="54"/>
      <c r="G748" s="55"/>
      <c r="H748" s="54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</row>
    <row r="749">
      <c r="A749" s="51"/>
      <c r="B749" s="51"/>
      <c r="C749" s="51"/>
      <c r="D749" s="51"/>
      <c r="E749" s="51"/>
      <c r="F749" s="54"/>
      <c r="G749" s="55"/>
      <c r="H749" s="54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</row>
    <row r="750">
      <c r="A750" s="51"/>
      <c r="B750" s="51"/>
      <c r="C750" s="51"/>
      <c r="D750" s="51"/>
      <c r="E750" s="51"/>
      <c r="F750" s="54"/>
      <c r="G750" s="55"/>
      <c r="H750" s="54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</row>
    <row r="751">
      <c r="A751" s="51"/>
      <c r="B751" s="51"/>
      <c r="C751" s="51"/>
      <c r="D751" s="51"/>
      <c r="E751" s="51"/>
      <c r="F751" s="54"/>
      <c r="G751" s="55"/>
      <c r="H751" s="54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</row>
    <row r="752">
      <c r="A752" s="51"/>
      <c r="B752" s="51"/>
      <c r="C752" s="51"/>
      <c r="D752" s="51"/>
      <c r="E752" s="51"/>
      <c r="F752" s="54"/>
      <c r="G752" s="55"/>
      <c r="H752" s="54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</row>
    <row r="753">
      <c r="A753" s="51"/>
      <c r="B753" s="51"/>
      <c r="C753" s="51"/>
      <c r="D753" s="51"/>
      <c r="E753" s="51"/>
      <c r="F753" s="54"/>
      <c r="G753" s="55"/>
      <c r="H753" s="54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</row>
    <row r="754">
      <c r="A754" s="51"/>
      <c r="B754" s="51"/>
      <c r="C754" s="51"/>
      <c r="D754" s="51"/>
      <c r="E754" s="51"/>
      <c r="F754" s="54"/>
      <c r="G754" s="55"/>
      <c r="H754" s="54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</row>
    <row r="755">
      <c r="A755" s="51"/>
      <c r="B755" s="51"/>
      <c r="C755" s="51"/>
      <c r="D755" s="51"/>
      <c r="E755" s="51"/>
      <c r="F755" s="54"/>
      <c r="G755" s="55"/>
      <c r="H755" s="54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</row>
    <row r="756">
      <c r="A756" s="51"/>
      <c r="B756" s="51"/>
      <c r="C756" s="51"/>
      <c r="D756" s="51"/>
      <c r="E756" s="51"/>
      <c r="F756" s="54"/>
      <c r="G756" s="55"/>
      <c r="H756" s="54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</row>
    <row r="757">
      <c r="A757" s="51"/>
      <c r="B757" s="51"/>
      <c r="C757" s="51"/>
      <c r="D757" s="51"/>
      <c r="E757" s="51"/>
      <c r="F757" s="54"/>
      <c r="G757" s="55"/>
      <c r="H757" s="54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</row>
    <row r="758">
      <c r="A758" s="51"/>
      <c r="B758" s="51"/>
      <c r="C758" s="51"/>
      <c r="D758" s="51"/>
      <c r="E758" s="51"/>
      <c r="F758" s="54"/>
      <c r="G758" s="55"/>
      <c r="H758" s="54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</row>
    <row r="759">
      <c r="A759" s="51"/>
      <c r="B759" s="51"/>
      <c r="C759" s="51"/>
      <c r="D759" s="51"/>
      <c r="E759" s="51"/>
      <c r="F759" s="54"/>
      <c r="G759" s="55"/>
      <c r="H759" s="54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</row>
    <row r="760">
      <c r="A760" s="51"/>
      <c r="B760" s="51"/>
      <c r="C760" s="51"/>
      <c r="D760" s="51"/>
      <c r="E760" s="51"/>
      <c r="F760" s="54"/>
      <c r="G760" s="55"/>
      <c r="H760" s="54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</row>
    <row r="761">
      <c r="A761" s="51"/>
      <c r="B761" s="51"/>
      <c r="C761" s="51"/>
      <c r="D761" s="51"/>
      <c r="E761" s="51"/>
      <c r="F761" s="54"/>
      <c r="G761" s="55"/>
      <c r="H761" s="54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</row>
    <row r="762">
      <c r="A762" s="51"/>
      <c r="B762" s="51"/>
      <c r="C762" s="51"/>
      <c r="D762" s="51"/>
      <c r="E762" s="51"/>
      <c r="F762" s="54"/>
      <c r="G762" s="55"/>
      <c r="H762" s="54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</row>
    <row r="763">
      <c r="A763" s="51"/>
      <c r="B763" s="51"/>
      <c r="C763" s="51"/>
      <c r="D763" s="51"/>
      <c r="E763" s="51"/>
      <c r="F763" s="54"/>
      <c r="G763" s="55"/>
      <c r="H763" s="54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</row>
    <row r="764">
      <c r="A764" s="51"/>
      <c r="B764" s="51"/>
      <c r="C764" s="51"/>
      <c r="D764" s="51"/>
      <c r="E764" s="51"/>
      <c r="F764" s="54"/>
      <c r="G764" s="55"/>
      <c r="H764" s="54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</row>
    <row r="765">
      <c r="A765" s="51"/>
      <c r="B765" s="51"/>
      <c r="C765" s="51"/>
      <c r="D765" s="51"/>
      <c r="E765" s="51"/>
      <c r="F765" s="54"/>
      <c r="G765" s="55"/>
      <c r="H765" s="54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</row>
    <row r="766">
      <c r="A766" s="51"/>
      <c r="B766" s="51"/>
      <c r="C766" s="51"/>
      <c r="D766" s="51"/>
      <c r="E766" s="51"/>
      <c r="F766" s="54"/>
      <c r="G766" s="55"/>
      <c r="H766" s="54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</row>
    <row r="767">
      <c r="A767" s="51"/>
      <c r="B767" s="51"/>
      <c r="C767" s="51"/>
      <c r="D767" s="51"/>
      <c r="E767" s="51"/>
      <c r="F767" s="54"/>
      <c r="G767" s="55"/>
      <c r="H767" s="54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</row>
    <row r="768">
      <c r="A768" s="51"/>
      <c r="B768" s="51"/>
      <c r="C768" s="51"/>
      <c r="D768" s="51"/>
      <c r="E768" s="51"/>
      <c r="F768" s="54"/>
      <c r="G768" s="55"/>
      <c r="H768" s="54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</row>
    <row r="769">
      <c r="A769" s="51"/>
      <c r="B769" s="51"/>
      <c r="C769" s="51"/>
      <c r="D769" s="51"/>
      <c r="E769" s="51"/>
      <c r="F769" s="54"/>
      <c r="G769" s="55"/>
      <c r="H769" s="54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</row>
    <row r="770">
      <c r="A770" s="51"/>
      <c r="B770" s="51"/>
      <c r="C770" s="51"/>
      <c r="D770" s="51"/>
      <c r="E770" s="51"/>
      <c r="F770" s="54"/>
      <c r="G770" s="55"/>
      <c r="H770" s="54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</row>
    <row r="771">
      <c r="A771" s="51"/>
      <c r="B771" s="51"/>
      <c r="C771" s="51"/>
      <c r="D771" s="51"/>
      <c r="E771" s="51"/>
      <c r="F771" s="54"/>
      <c r="G771" s="55"/>
      <c r="H771" s="54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</row>
    <row r="772">
      <c r="A772" s="51"/>
      <c r="B772" s="51"/>
      <c r="C772" s="51"/>
      <c r="D772" s="51"/>
      <c r="E772" s="51"/>
      <c r="F772" s="54"/>
      <c r="G772" s="55"/>
      <c r="H772" s="54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</row>
    <row r="773">
      <c r="A773" s="51"/>
      <c r="B773" s="51"/>
      <c r="C773" s="51"/>
      <c r="D773" s="51"/>
      <c r="E773" s="51"/>
      <c r="F773" s="54"/>
      <c r="G773" s="55"/>
      <c r="H773" s="54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</row>
    <row r="774">
      <c r="A774" s="51"/>
      <c r="B774" s="51"/>
      <c r="C774" s="51"/>
      <c r="D774" s="51"/>
      <c r="E774" s="51"/>
      <c r="F774" s="54"/>
      <c r="G774" s="55"/>
      <c r="H774" s="54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</row>
    <row r="775">
      <c r="A775" s="51"/>
      <c r="B775" s="51"/>
      <c r="C775" s="51"/>
      <c r="D775" s="51"/>
      <c r="E775" s="51"/>
      <c r="F775" s="54"/>
      <c r="G775" s="55"/>
      <c r="H775" s="54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</row>
    <row r="776">
      <c r="A776" s="51"/>
      <c r="B776" s="51"/>
      <c r="C776" s="51"/>
      <c r="D776" s="51"/>
      <c r="E776" s="51"/>
      <c r="F776" s="54"/>
      <c r="G776" s="55"/>
      <c r="H776" s="54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</row>
    <row r="777">
      <c r="A777" s="51"/>
      <c r="B777" s="51"/>
      <c r="C777" s="51"/>
      <c r="D777" s="51"/>
      <c r="E777" s="51"/>
      <c r="F777" s="54"/>
      <c r="G777" s="55"/>
      <c r="H777" s="54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</row>
    <row r="778">
      <c r="A778" s="51"/>
      <c r="B778" s="51"/>
      <c r="C778" s="51"/>
      <c r="D778" s="51"/>
      <c r="E778" s="51"/>
      <c r="F778" s="54"/>
      <c r="G778" s="55"/>
      <c r="H778" s="54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</row>
    <row r="779">
      <c r="A779" s="51"/>
      <c r="B779" s="51"/>
      <c r="C779" s="51"/>
      <c r="D779" s="51"/>
      <c r="E779" s="51"/>
      <c r="F779" s="54"/>
      <c r="G779" s="55"/>
      <c r="H779" s="54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</row>
    <row r="780">
      <c r="A780" s="51"/>
      <c r="B780" s="51"/>
      <c r="C780" s="51"/>
      <c r="D780" s="51"/>
      <c r="E780" s="51"/>
      <c r="F780" s="54"/>
      <c r="G780" s="55"/>
      <c r="H780" s="54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</row>
    <row r="781">
      <c r="A781" s="51"/>
      <c r="B781" s="51"/>
      <c r="C781" s="51"/>
      <c r="D781" s="51"/>
      <c r="E781" s="51"/>
      <c r="F781" s="54"/>
      <c r="G781" s="55"/>
      <c r="H781" s="54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</row>
    <row r="782">
      <c r="A782" s="51"/>
      <c r="B782" s="51"/>
      <c r="C782" s="51"/>
      <c r="D782" s="51"/>
      <c r="E782" s="51"/>
      <c r="F782" s="54"/>
      <c r="G782" s="55"/>
      <c r="H782" s="54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</row>
    <row r="783">
      <c r="A783" s="51"/>
      <c r="B783" s="51"/>
      <c r="C783" s="51"/>
      <c r="D783" s="51"/>
      <c r="E783" s="51"/>
      <c r="F783" s="54"/>
      <c r="G783" s="55"/>
      <c r="H783" s="54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</row>
    <row r="784">
      <c r="A784" s="51"/>
      <c r="B784" s="51"/>
      <c r="C784" s="51"/>
      <c r="D784" s="51"/>
      <c r="E784" s="51"/>
      <c r="F784" s="54"/>
      <c r="G784" s="55"/>
      <c r="H784" s="54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</row>
    <row r="785">
      <c r="A785" s="51"/>
      <c r="B785" s="51"/>
      <c r="C785" s="51"/>
      <c r="D785" s="51"/>
      <c r="E785" s="51"/>
      <c r="F785" s="54"/>
      <c r="G785" s="55"/>
      <c r="H785" s="54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</row>
    <row r="786">
      <c r="A786" s="51"/>
      <c r="B786" s="51"/>
      <c r="C786" s="51"/>
      <c r="D786" s="51"/>
      <c r="E786" s="51"/>
      <c r="F786" s="54"/>
      <c r="G786" s="55"/>
      <c r="H786" s="54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</row>
    <row r="787">
      <c r="A787" s="51"/>
      <c r="B787" s="51"/>
      <c r="C787" s="51"/>
      <c r="D787" s="51"/>
      <c r="E787" s="51"/>
      <c r="F787" s="54"/>
      <c r="G787" s="55"/>
      <c r="H787" s="54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</row>
    <row r="788">
      <c r="A788" s="51"/>
      <c r="B788" s="51"/>
      <c r="C788" s="51"/>
      <c r="D788" s="51"/>
      <c r="E788" s="51"/>
      <c r="F788" s="54"/>
      <c r="G788" s="55"/>
      <c r="H788" s="54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</row>
    <row r="789">
      <c r="A789" s="51"/>
      <c r="B789" s="51"/>
      <c r="C789" s="51"/>
      <c r="D789" s="51"/>
      <c r="E789" s="51"/>
      <c r="F789" s="54"/>
      <c r="G789" s="55"/>
      <c r="H789" s="54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</row>
    <row r="790">
      <c r="A790" s="51"/>
      <c r="B790" s="51"/>
      <c r="C790" s="51"/>
      <c r="D790" s="51"/>
      <c r="E790" s="51"/>
      <c r="F790" s="54"/>
      <c r="G790" s="55"/>
      <c r="H790" s="54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</row>
    <row r="791">
      <c r="A791" s="51"/>
      <c r="B791" s="51"/>
      <c r="C791" s="51"/>
      <c r="D791" s="51"/>
      <c r="E791" s="51"/>
      <c r="F791" s="54"/>
      <c r="G791" s="55"/>
      <c r="H791" s="54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</row>
    <row r="792">
      <c r="A792" s="51"/>
      <c r="B792" s="51"/>
      <c r="C792" s="51"/>
      <c r="D792" s="51"/>
      <c r="E792" s="51"/>
      <c r="F792" s="54"/>
      <c r="G792" s="55"/>
      <c r="H792" s="54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</row>
    <row r="793">
      <c r="A793" s="51"/>
      <c r="B793" s="51"/>
      <c r="C793" s="51"/>
      <c r="D793" s="51"/>
      <c r="E793" s="51"/>
      <c r="F793" s="54"/>
      <c r="G793" s="55"/>
      <c r="H793" s="54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</row>
    <row r="794">
      <c r="A794" s="51"/>
      <c r="B794" s="51"/>
      <c r="C794" s="51"/>
      <c r="D794" s="51"/>
      <c r="E794" s="51"/>
      <c r="F794" s="54"/>
      <c r="G794" s="55"/>
      <c r="H794" s="54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</row>
    <row r="795">
      <c r="A795" s="51"/>
      <c r="B795" s="51"/>
      <c r="C795" s="51"/>
      <c r="D795" s="51"/>
      <c r="E795" s="51"/>
      <c r="F795" s="54"/>
      <c r="G795" s="55"/>
      <c r="H795" s="54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</row>
    <row r="796">
      <c r="A796" s="51"/>
      <c r="B796" s="51"/>
      <c r="C796" s="51"/>
      <c r="D796" s="51"/>
      <c r="E796" s="51"/>
      <c r="F796" s="54"/>
      <c r="G796" s="55"/>
      <c r="H796" s="54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</row>
    <row r="797">
      <c r="A797" s="51"/>
      <c r="B797" s="51"/>
      <c r="C797" s="51"/>
      <c r="D797" s="51"/>
      <c r="E797" s="51"/>
      <c r="F797" s="54"/>
      <c r="G797" s="55"/>
      <c r="H797" s="54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</row>
    <row r="798">
      <c r="A798" s="51"/>
      <c r="B798" s="51"/>
      <c r="C798" s="51"/>
      <c r="D798" s="51"/>
      <c r="E798" s="51"/>
      <c r="F798" s="54"/>
      <c r="G798" s="55"/>
      <c r="H798" s="54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</row>
    <row r="799">
      <c r="A799" s="51"/>
      <c r="B799" s="51"/>
      <c r="C799" s="51"/>
      <c r="D799" s="51"/>
      <c r="E799" s="51"/>
      <c r="F799" s="54"/>
      <c r="G799" s="55"/>
      <c r="H799" s="54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</row>
    <row r="800">
      <c r="A800" s="51"/>
      <c r="B800" s="51"/>
      <c r="C800" s="51"/>
      <c r="D800" s="51"/>
      <c r="E800" s="51"/>
      <c r="F800" s="54"/>
      <c r="G800" s="55"/>
      <c r="H800" s="54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</row>
    <row r="801">
      <c r="A801" s="51"/>
      <c r="B801" s="51"/>
      <c r="C801" s="51"/>
      <c r="D801" s="51"/>
      <c r="E801" s="51"/>
      <c r="F801" s="54"/>
      <c r="G801" s="55"/>
      <c r="H801" s="54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</row>
    <row r="802">
      <c r="A802" s="51"/>
      <c r="B802" s="51"/>
      <c r="C802" s="51"/>
      <c r="D802" s="51"/>
      <c r="E802" s="51"/>
      <c r="F802" s="54"/>
      <c r="G802" s="55"/>
      <c r="H802" s="54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</row>
    <row r="803">
      <c r="A803" s="51"/>
      <c r="B803" s="51"/>
      <c r="C803" s="51"/>
      <c r="D803" s="51"/>
      <c r="E803" s="51"/>
      <c r="F803" s="54"/>
      <c r="G803" s="55"/>
      <c r="H803" s="54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</row>
    <row r="804">
      <c r="A804" s="51"/>
      <c r="B804" s="51"/>
      <c r="C804" s="51"/>
      <c r="D804" s="51"/>
      <c r="E804" s="51"/>
      <c r="F804" s="54"/>
      <c r="G804" s="55"/>
      <c r="H804" s="54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</row>
    <row r="805">
      <c r="A805" s="51"/>
      <c r="B805" s="51"/>
      <c r="C805" s="51"/>
      <c r="D805" s="51"/>
      <c r="E805" s="51"/>
      <c r="F805" s="54"/>
      <c r="G805" s="55"/>
      <c r="H805" s="54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</row>
    <row r="806">
      <c r="A806" s="51"/>
      <c r="B806" s="51"/>
      <c r="C806" s="51"/>
      <c r="D806" s="51"/>
      <c r="E806" s="51"/>
      <c r="F806" s="54"/>
      <c r="G806" s="55"/>
      <c r="H806" s="54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</row>
    <row r="807">
      <c r="A807" s="51"/>
      <c r="B807" s="51"/>
      <c r="C807" s="51"/>
      <c r="D807" s="51"/>
      <c r="E807" s="51"/>
      <c r="F807" s="54"/>
      <c r="G807" s="55"/>
      <c r="H807" s="54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</row>
    <row r="808">
      <c r="A808" s="51"/>
      <c r="B808" s="51"/>
      <c r="C808" s="51"/>
      <c r="D808" s="51"/>
      <c r="E808" s="51"/>
      <c r="F808" s="54"/>
      <c r="G808" s="55"/>
      <c r="H808" s="54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</row>
    <row r="809">
      <c r="A809" s="51"/>
      <c r="B809" s="51"/>
      <c r="C809" s="51"/>
      <c r="D809" s="51"/>
      <c r="E809" s="51"/>
      <c r="F809" s="54"/>
      <c r="G809" s="55"/>
      <c r="H809" s="54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</row>
    <row r="810">
      <c r="A810" s="51"/>
      <c r="B810" s="51"/>
      <c r="C810" s="51"/>
      <c r="D810" s="51"/>
      <c r="E810" s="51"/>
      <c r="F810" s="54"/>
      <c r="G810" s="55"/>
      <c r="H810" s="54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</row>
    <row r="811">
      <c r="A811" s="51"/>
      <c r="B811" s="51"/>
      <c r="C811" s="51"/>
      <c r="D811" s="51"/>
      <c r="E811" s="51"/>
      <c r="F811" s="54"/>
      <c r="G811" s="55"/>
      <c r="H811" s="54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</row>
    <row r="812">
      <c r="A812" s="51"/>
      <c r="B812" s="51"/>
      <c r="C812" s="51"/>
      <c r="D812" s="51"/>
      <c r="E812" s="51"/>
      <c r="F812" s="54"/>
      <c r="G812" s="55"/>
      <c r="H812" s="54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</row>
    <row r="813">
      <c r="A813" s="51"/>
      <c r="B813" s="51"/>
      <c r="C813" s="51"/>
      <c r="D813" s="51"/>
      <c r="E813" s="51"/>
      <c r="F813" s="54"/>
      <c r="G813" s="55"/>
      <c r="H813" s="54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</row>
    <row r="814">
      <c r="A814" s="51"/>
      <c r="B814" s="51"/>
      <c r="C814" s="51"/>
      <c r="D814" s="51"/>
      <c r="E814" s="51"/>
      <c r="F814" s="54"/>
      <c r="G814" s="55"/>
      <c r="H814" s="54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</row>
    <row r="815">
      <c r="A815" s="51"/>
      <c r="B815" s="51"/>
      <c r="C815" s="51"/>
      <c r="D815" s="51"/>
      <c r="E815" s="51"/>
      <c r="F815" s="54"/>
      <c r="G815" s="55"/>
      <c r="H815" s="54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</row>
    <row r="816">
      <c r="A816" s="51"/>
      <c r="B816" s="51"/>
      <c r="C816" s="51"/>
      <c r="D816" s="51"/>
      <c r="E816" s="51"/>
      <c r="F816" s="54"/>
      <c r="G816" s="55"/>
      <c r="H816" s="54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</row>
    <row r="817">
      <c r="A817" s="51"/>
      <c r="B817" s="51"/>
      <c r="C817" s="51"/>
      <c r="D817" s="51"/>
      <c r="E817" s="51"/>
      <c r="F817" s="54"/>
      <c r="G817" s="55"/>
      <c r="H817" s="54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</row>
    <row r="818">
      <c r="A818" s="51"/>
      <c r="B818" s="51"/>
      <c r="C818" s="51"/>
      <c r="D818" s="51"/>
      <c r="E818" s="51"/>
      <c r="F818" s="54"/>
      <c r="G818" s="55"/>
      <c r="H818" s="54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</row>
    <row r="819">
      <c r="A819" s="51"/>
      <c r="B819" s="51"/>
      <c r="C819" s="51"/>
      <c r="D819" s="51"/>
      <c r="E819" s="51"/>
      <c r="F819" s="54"/>
      <c r="G819" s="55"/>
      <c r="H819" s="54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</row>
    <row r="820">
      <c r="A820" s="51"/>
      <c r="B820" s="51"/>
      <c r="C820" s="51"/>
      <c r="D820" s="51"/>
      <c r="E820" s="51"/>
      <c r="F820" s="54"/>
      <c r="G820" s="55"/>
      <c r="H820" s="54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</row>
    <row r="821">
      <c r="A821" s="51"/>
      <c r="B821" s="51"/>
      <c r="C821" s="51"/>
      <c r="D821" s="51"/>
      <c r="E821" s="51"/>
      <c r="F821" s="54"/>
      <c r="G821" s="55"/>
      <c r="H821" s="54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</row>
    <row r="822">
      <c r="A822" s="51"/>
      <c r="B822" s="51"/>
      <c r="C822" s="51"/>
      <c r="D822" s="51"/>
      <c r="E822" s="51"/>
      <c r="F822" s="54"/>
      <c r="G822" s="55"/>
      <c r="H822" s="54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</row>
    <row r="823">
      <c r="A823" s="51"/>
      <c r="B823" s="51"/>
      <c r="C823" s="51"/>
      <c r="D823" s="51"/>
      <c r="E823" s="51"/>
      <c r="F823" s="54"/>
      <c r="G823" s="55"/>
      <c r="H823" s="54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</row>
    <row r="824">
      <c r="A824" s="51"/>
      <c r="B824" s="51"/>
      <c r="C824" s="51"/>
      <c r="D824" s="51"/>
      <c r="E824" s="51"/>
      <c r="F824" s="54"/>
      <c r="G824" s="55"/>
      <c r="H824" s="54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</row>
    <row r="825">
      <c r="A825" s="51"/>
      <c r="B825" s="51"/>
      <c r="C825" s="51"/>
      <c r="D825" s="51"/>
      <c r="E825" s="51"/>
      <c r="F825" s="54"/>
      <c r="G825" s="55"/>
      <c r="H825" s="54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</row>
    <row r="826">
      <c r="A826" s="51"/>
      <c r="B826" s="51"/>
      <c r="C826" s="51"/>
      <c r="D826" s="51"/>
      <c r="E826" s="51"/>
      <c r="F826" s="54"/>
      <c r="G826" s="55"/>
      <c r="H826" s="54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</row>
    <row r="827">
      <c r="A827" s="51"/>
      <c r="B827" s="51"/>
      <c r="C827" s="51"/>
      <c r="D827" s="51"/>
      <c r="E827" s="51"/>
      <c r="F827" s="54"/>
      <c r="G827" s="55"/>
      <c r="H827" s="54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</row>
    <row r="828">
      <c r="A828" s="51"/>
      <c r="B828" s="51"/>
      <c r="C828" s="51"/>
      <c r="D828" s="51"/>
      <c r="E828" s="51"/>
      <c r="F828" s="54"/>
      <c r="G828" s="55"/>
      <c r="H828" s="54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</row>
    <row r="829">
      <c r="A829" s="51"/>
      <c r="B829" s="51"/>
      <c r="C829" s="51"/>
      <c r="D829" s="51"/>
      <c r="E829" s="51"/>
      <c r="F829" s="54"/>
      <c r="G829" s="55"/>
      <c r="H829" s="54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</row>
    <row r="830">
      <c r="A830" s="51"/>
      <c r="B830" s="51"/>
      <c r="C830" s="51"/>
      <c r="D830" s="51"/>
      <c r="E830" s="51"/>
      <c r="F830" s="54"/>
      <c r="G830" s="55"/>
      <c r="H830" s="54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</row>
    <row r="831">
      <c r="A831" s="51"/>
      <c r="B831" s="51"/>
      <c r="C831" s="51"/>
      <c r="D831" s="51"/>
      <c r="E831" s="51"/>
      <c r="F831" s="54"/>
      <c r="G831" s="55"/>
      <c r="H831" s="54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</row>
    <row r="832">
      <c r="A832" s="51"/>
      <c r="B832" s="51"/>
      <c r="C832" s="51"/>
      <c r="D832" s="51"/>
      <c r="E832" s="51"/>
      <c r="F832" s="54"/>
      <c r="G832" s="55"/>
      <c r="H832" s="54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</row>
    <row r="833">
      <c r="A833" s="51"/>
      <c r="B833" s="51"/>
      <c r="C833" s="51"/>
      <c r="D833" s="51"/>
      <c r="E833" s="51"/>
      <c r="F833" s="54"/>
      <c r="G833" s="55"/>
      <c r="H833" s="54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</row>
    <row r="834">
      <c r="A834" s="51"/>
      <c r="B834" s="51"/>
      <c r="C834" s="51"/>
      <c r="D834" s="51"/>
      <c r="E834" s="51"/>
      <c r="F834" s="54"/>
      <c r="G834" s="55"/>
      <c r="H834" s="54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</row>
    <row r="835">
      <c r="A835" s="51"/>
      <c r="B835" s="51"/>
      <c r="C835" s="51"/>
      <c r="D835" s="51"/>
      <c r="E835" s="51"/>
      <c r="F835" s="54"/>
      <c r="G835" s="55"/>
      <c r="H835" s="54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</row>
    <row r="836">
      <c r="A836" s="51"/>
      <c r="B836" s="51"/>
      <c r="C836" s="51"/>
      <c r="D836" s="51"/>
      <c r="E836" s="51"/>
      <c r="F836" s="54"/>
      <c r="G836" s="55"/>
      <c r="H836" s="54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</row>
    <row r="837">
      <c r="A837" s="51"/>
      <c r="B837" s="51"/>
      <c r="C837" s="51"/>
      <c r="D837" s="51"/>
      <c r="E837" s="51"/>
      <c r="F837" s="54"/>
      <c r="G837" s="55"/>
      <c r="H837" s="54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</row>
    <row r="838">
      <c r="A838" s="51"/>
      <c r="B838" s="51"/>
      <c r="C838" s="51"/>
      <c r="D838" s="51"/>
      <c r="E838" s="51"/>
      <c r="F838" s="54"/>
      <c r="G838" s="55"/>
      <c r="H838" s="54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</row>
    <row r="839">
      <c r="A839" s="51"/>
      <c r="B839" s="51"/>
      <c r="C839" s="51"/>
      <c r="D839" s="51"/>
      <c r="E839" s="51"/>
      <c r="F839" s="54"/>
      <c r="G839" s="55"/>
      <c r="H839" s="54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</row>
    <row r="840">
      <c r="A840" s="51"/>
      <c r="B840" s="51"/>
      <c r="C840" s="51"/>
      <c r="D840" s="51"/>
      <c r="E840" s="51"/>
      <c r="F840" s="54"/>
      <c r="G840" s="55"/>
      <c r="H840" s="54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</row>
    <row r="841">
      <c r="A841" s="51"/>
      <c r="B841" s="51"/>
      <c r="C841" s="51"/>
      <c r="D841" s="51"/>
      <c r="E841" s="51"/>
      <c r="F841" s="54"/>
      <c r="G841" s="55"/>
      <c r="H841" s="54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</row>
    <row r="842">
      <c r="A842" s="51"/>
      <c r="B842" s="51"/>
      <c r="C842" s="51"/>
      <c r="D842" s="51"/>
      <c r="E842" s="51"/>
      <c r="F842" s="54"/>
      <c r="G842" s="55"/>
      <c r="H842" s="54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</row>
    <row r="843">
      <c r="A843" s="51"/>
      <c r="B843" s="51"/>
      <c r="C843" s="51"/>
      <c r="D843" s="51"/>
      <c r="E843" s="51"/>
      <c r="F843" s="54"/>
      <c r="G843" s="55"/>
      <c r="H843" s="54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</row>
    <row r="844">
      <c r="A844" s="51"/>
      <c r="B844" s="51"/>
      <c r="C844" s="51"/>
      <c r="D844" s="51"/>
      <c r="E844" s="51"/>
      <c r="F844" s="54"/>
      <c r="G844" s="55"/>
      <c r="H844" s="54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</row>
    <row r="845">
      <c r="A845" s="51"/>
      <c r="B845" s="51"/>
      <c r="C845" s="51"/>
      <c r="D845" s="51"/>
      <c r="E845" s="51"/>
      <c r="F845" s="54"/>
      <c r="G845" s="55"/>
      <c r="H845" s="54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</row>
    <row r="846">
      <c r="A846" s="51"/>
      <c r="B846" s="51"/>
      <c r="C846" s="51"/>
      <c r="D846" s="51"/>
      <c r="E846" s="51"/>
      <c r="F846" s="54"/>
      <c r="G846" s="55"/>
      <c r="H846" s="54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</row>
    <row r="847">
      <c r="A847" s="51"/>
      <c r="B847" s="51"/>
      <c r="C847" s="51"/>
      <c r="D847" s="51"/>
      <c r="E847" s="51"/>
      <c r="F847" s="54"/>
      <c r="G847" s="55"/>
      <c r="H847" s="54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</row>
    <row r="848">
      <c r="A848" s="51"/>
      <c r="B848" s="51"/>
      <c r="C848" s="51"/>
      <c r="D848" s="51"/>
      <c r="E848" s="51"/>
      <c r="F848" s="54"/>
      <c r="G848" s="55"/>
      <c r="H848" s="54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</row>
    <row r="849">
      <c r="A849" s="51"/>
      <c r="B849" s="51"/>
      <c r="C849" s="51"/>
      <c r="D849" s="51"/>
      <c r="E849" s="51"/>
      <c r="F849" s="54"/>
      <c r="G849" s="55"/>
      <c r="H849" s="54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</row>
    <row r="850">
      <c r="A850" s="51"/>
      <c r="B850" s="51"/>
      <c r="C850" s="51"/>
      <c r="D850" s="51"/>
      <c r="E850" s="51"/>
      <c r="F850" s="54"/>
      <c r="G850" s="55"/>
      <c r="H850" s="54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</row>
    <row r="851">
      <c r="A851" s="51"/>
      <c r="B851" s="51"/>
      <c r="C851" s="51"/>
      <c r="D851" s="51"/>
      <c r="E851" s="51"/>
      <c r="F851" s="54"/>
      <c r="G851" s="55"/>
      <c r="H851" s="54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</row>
    <row r="852">
      <c r="A852" s="51"/>
      <c r="B852" s="51"/>
      <c r="C852" s="51"/>
      <c r="D852" s="51"/>
      <c r="E852" s="51"/>
      <c r="F852" s="54"/>
      <c r="G852" s="55"/>
      <c r="H852" s="54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</row>
    <row r="853">
      <c r="A853" s="51"/>
      <c r="B853" s="51"/>
      <c r="C853" s="51"/>
      <c r="D853" s="51"/>
      <c r="E853" s="51"/>
      <c r="F853" s="54"/>
      <c r="G853" s="55"/>
      <c r="H853" s="54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</row>
    <row r="854">
      <c r="A854" s="51"/>
      <c r="B854" s="51"/>
      <c r="C854" s="51"/>
      <c r="D854" s="51"/>
      <c r="E854" s="51"/>
      <c r="F854" s="54"/>
      <c r="G854" s="55"/>
      <c r="H854" s="54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</row>
    <row r="855">
      <c r="A855" s="51"/>
      <c r="B855" s="51"/>
      <c r="C855" s="51"/>
      <c r="D855" s="51"/>
      <c r="E855" s="51"/>
      <c r="F855" s="54"/>
      <c r="G855" s="55"/>
      <c r="H855" s="54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</row>
    <row r="856">
      <c r="A856" s="51"/>
      <c r="B856" s="51"/>
      <c r="C856" s="51"/>
      <c r="D856" s="51"/>
      <c r="E856" s="51"/>
      <c r="F856" s="54"/>
      <c r="G856" s="55"/>
      <c r="H856" s="54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</row>
    <row r="857">
      <c r="A857" s="51"/>
      <c r="B857" s="51"/>
      <c r="C857" s="51"/>
      <c r="D857" s="51"/>
      <c r="E857" s="51"/>
      <c r="F857" s="54"/>
      <c r="G857" s="55"/>
      <c r="H857" s="54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</row>
    <row r="858">
      <c r="A858" s="51"/>
      <c r="B858" s="51"/>
      <c r="C858" s="51"/>
      <c r="D858" s="51"/>
      <c r="E858" s="51"/>
      <c r="F858" s="54"/>
      <c r="G858" s="55"/>
      <c r="H858" s="54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</row>
    <row r="859">
      <c r="A859" s="51"/>
      <c r="B859" s="51"/>
      <c r="C859" s="51"/>
      <c r="D859" s="51"/>
      <c r="E859" s="51"/>
      <c r="F859" s="54"/>
      <c r="G859" s="55"/>
      <c r="H859" s="54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</row>
    <row r="860">
      <c r="A860" s="51"/>
      <c r="B860" s="51"/>
      <c r="C860" s="51"/>
      <c r="D860" s="51"/>
      <c r="E860" s="51"/>
      <c r="F860" s="54"/>
      <c r="G860" s="55"/>
      <c r="H860" s="54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</row>
    <row r="861">
      <c r="A861" s="51"/>
      <c r="B861" s="51"/>
      <c r="C861" s="51"/>
      <c r="D861" s="51"/>
      <c r="E861" s="51"/>
      <c r="F861" s="54"/>
      <c r="G861" s="55"/>
      <c r="H861" s="54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</row>
    <row r="862">
      <c r="A862" s="51"/>
      <c r="B862" s="51"/>
      <c r="C862" s="51"/>
      <c r="D862" s="51"/>
      <c r="E862" s="51"/>
      <c r="F862" s="54"/>
      <c r="G862" s="55"/>
      <c r="H862" s="54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</row>
    <row r="863">
      <c r="A863" s="51"/>
      <c r="B863" s="51"/>
      <c r="C863" s="51"/>
      <c r="D863" s="51"/>
      <c r="E863" s="51"/>
      <c r="F863" s="54"/>
      <c r="G863" s="55"/>
      <c r="H863" s="54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</row>
    <row r="864">
      <c r="A864" s="51"/>
      <c r="B864" s="51"/>
      <c r="C864" s="51"/>
      <c r="D864" s="51"/>
      <c r="E864" s="51"/>
      <c r="F864" s="54"/>
      <c r="G864" s="55"/>
      <c r="H864" s="54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</row>
    <row r="865">
      <c r="A865" s="51"/>
      <c r="B865" s="51"/>
      <c r="C865" s="51"/>
      <c r="D865" s="51"/>
      <c r="E865" s="51"/>
      <c r="F865" s="54"/>
      <c r="G865" s="55"/>
      <c r="H865" s="54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</row>
    <row r="866">
      <c r="A866" s="51"/>
      <c r="B866" s="51"/>
      <c r="C866" s="51"/>
      <c r="D866" s="51"/>
      <c r="E866" s="51"/>
      <c r="F866" s="54"/>
      <c r="G866" s="55"/>
      <c r="H866" s="54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</row>
    <row r="867">
      <c r="A867" s="51"/>
      <c r="B867" s="51"/>
      <c r="C867" s="51"/>
      <c r="D867" s="51"/>
      <c r="E867" s="51"/>
      <c r="F867" s="54"/>
      <c r="G867" s="55"/>
      <c r="H867" s="54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</row>
    <row r="868">
      <c r="A868" s="51"/>
      <c r="B868" s="51"/>
      <c r="C868" s="51"/>
      <c r="D868" s="51"/>
      <c r="E868" s="51"/>
      <c r="F868" s="54"/>
      <c r="G868" s="55"/>
      <c r="H868" s="54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</row>
    <row r="869">
      <c r="A869" s="51"/>
      <c r="B869" s="51"/>
      <c r="C869" s="51"/>
      <c r="D869" s="51"/>
      <c r="E869" s="51"/>
      <c r="F869" s="54"/>
      <c r="G869" s="55"/>
      <c r="H869" s="54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</row>
    <row r="870">
      <c r="A870" s="51"/>
      <c r="B870" s="51"/>
      <c r="C870" s="51"/>
      <c r="D870" s="51"/>
      <c r="E870" s="51"/>
      <c r="F870" s="54"/>
      <c r="G870" s="55"/>
      <c r="H870" s="54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</row>
    <row r="871">
      <c r="A871" s="51"/>
      <c r="B871" s="51"/>
      <c r="C871" s="51"/>
      <c r="D871" s="51"/>
      <c r="E871" s="51"/>
      <c r="F871" s="54"/>
      <c r="G871" s="55"/>
      <c r="H871" s="54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</row>
    <row r="872">
      <c r="A872" s="51"/>
      <c r="B872" s="51"/>
      <c r="C872" s="51"/>
      <c r="D872" s="51"/>
      <c r="E872" s="51"/>
      <c r="F872" s="54"/>
      <c r="G872" s="55"/>
      <c r="H872" s="54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</row>
    <row r="873">
      <c r="A873" s="51"/>
      <c r="B873" s="51"/>
      <c r="C873" s="51"/>
      <c r="D873" s="51"/>
      <c r="E873" s="51"/>
      <c r="F873" s="54"/>
      <c r="G873" s="55"/>
      <c r="H873" s="54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</row>
    <row r="874">
      <c r="A874" s="51"/>
      <c r="B874" s="51"/>
      <c r="C874" s="51"/>
      <c r="D874" s="51"/>
      <c r="E874" s="51"/>
      <c r="F874" s="54"/>
      <c r="G874" s="55"/>
      <c r="H874" s="54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</row>
    <row r="875">
      <c r="A875" s="51"/>
      <c r="B875" s="51"/>
      <c r="C875" s="51"/>
      <c r="D875" s="51"/>
      <c r="E875" s="51"/>
      <c r="F875" s="54"/>
      <c r="G875" s="55"/>
      <c r="H875" s="54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</row>
    <row r="876">
      <c r="A876" s="51"/>
      <c r="B876" s="51"/>
      <c r="C876" s="51"/>
      <c r="D876" s="51"/>
      <c r="E876" s="51"/>
      <c r="F876" s="54"/>
      <c r="G876" s="55"/>
      <c r="H876" s="54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</row>
    <row r="877">
      <c r="A877" s="51"/>
      <c r="B877" s="51"/>
      <c r="C877" s="51"/>
      <c r="D877" s="51"/>
      <c r="E877" s="51"/>
      <c r="F877" s="54"/>
      <c r="G877" s="55"/>
      <c r="H877" s="54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</row>
    <row r="878">
      <c r="A878" s="51"/>
      <c r="B878" s="51"/>
      <c r="C878" s="51"/>
      <c r="D878" s="51"/>
      <c r="E878" s="51"/>
      <c r="F878" s="54"/>
      <c r="G878" s="55"/>
      <c r="H878" s="54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</row>
    <row r="879">
      <c r="A879" s="51"/>
      <c r="B879" s="51"/>
      <c r="C879" s="51"/>
      <c r="D879" s="51"/>
      <c r="E879" s="51"/>
      <c r="F879" s="54"/>
      <c r="G879" s="55"/>
      <c r="H879" s="54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</row>
    <row r="880">
      <c r="A880" s="51"/>
      <c r="B880" s="51"/>
      <c r="C880" s="51"/>
      <c r="D880" s="51"/>
      <c r="E880" s="51"/>
      <c r="F880" s="54"/>
      <c r="G880" s="55"/>
      <c r="H880" s="54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</row>
    <row r="881">
      <c r="A881" s="51"/>
      <c r="B881" s="51"/>
      <c r="C881" s="51"/>
      <c r="D881" s="51"/>
      <c r="E881" s="51"/>
      <c r="F881" s="54"/>
      <c r="G881" s="55"/>
      <c r="H881" s="54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</row>
    <row r="882">
      <c r="A882" s="51"/>
      <c r="B882" s="51"/>
      <c r="C882" s="51"/>
      <c r="D882" s="51"/>
      <c r="E882" s="51"/>
      <c r="F882" s="54"/>
      <c r="G882" s="55"/>
      <c r="H882" s="54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</row>
    <row r="883">
      <c r="A883" s="51"/>
      <c r="B883" s="51"/>
      <c r="C883" s="51"/>
      <c r="D883" s="51"/>
      <c r="E883" s="51"/>
      <c r="F883" s="54"/>
      <c r="G883" s="55"/>
      <c r="H883" s="54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</row>
    <row r="884">
      <c r="A884" s="51"/>
      <c r="B884" s="51"/>
      <c r="C884" s="51"/>
      <c r="D884" s="51"/>
      <c r="E884" s="51"/>
      <c r="F884" s="54"/>
      <c r="G884" s="55"/>
      <c r="H884" s="54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</row>
    <row r="885">
      <c r="A885" s="51"/>
      <c r="B885" s="51"/>
      <c r="C885" s="51"/>
      <c r="D885" s="51"/>
      <c r="E885" s="51"/>
      <c r="F885" s="54"/>
      <c r="G885" s="55"/>
      <c r="H885" s="54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</row>
    <row r="886">
      <c r="A886" s="51"/>
      <c r="B886" s="51"/>
      <c r="C886" s="51"/>
      <c r="D886" s="51"/>
      <c r="E886" s="51"/>
      <c r="F886" s="54"/>
      <c r="G886" s="55"/>
      <c r="H886" s="54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</row>
    <row r="887">
      <c r="A887" s="51"/>
      <c r="B887" s="51"/>
      <c r="C887" s="51"/>
      <c r="D887" s="51"/>
      <c r="E887" s="51"/>
      <c r="F887" s="54"/>
      <c r="G887" s="55"/>
      <c r="H887" s="54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</row>
    <row r="888">
      <c r="A888" s="51"/>
      <c r="B888" s="51"/>
      <c r="C888" s="51"/>
      <c r="D888" s="51"/>
      <c r="E888" s="51"/>
      <c r="F888" s="54"/>
      <c r="G888" s="55"/>
      <c r="H888" s="54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</row>
    <row r="889">
      <c r="A889" s="51"/>
      <c r="B889" s="51"/>
      <c r="C889" s="51"/>
      <c r="D889" s="51"/>
      <c r="E889" s="51"/>
      <c r="F889" s="54"/>
      <c r="G889" s="55"/>
      <c r="H889" s="54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</row>
    <row r="890">
      <c r="A890" s="51"/>
      <c r="B890" s="51"/>
      <c r="C890" s="51"/>
      <c r="D890" s="51"/>
      <c r="E890" s="51"/>
      <c r="F890" s="54"/>
      <c r="G890" s="55"/>
      <c r="H890" s="54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</row>
    <row r="891">
      <c r="A891" s="51"/>
      <c r="B891" s="51"/>
      <c r="C891" s="51"/>
      <c r="D891" s="51"/>
      <c r="E891" s="51"/>
      <c r="F891" s="54"/>
      <c r="G891" s="55"/>
      <c r="H891" s="54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</row>
    <row r="892">
      <c r="A892" s="51"/>
      <c r="B892" s="51"/>
      <c r="C892" s="51"/>
      <c r="D892" s="51"/>
      <c r="E892" s="51"/>
      <c r="F892" s="54"/>
      <c r="G892" s="55"/>
      <c r="H892" s="54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</row>
    <row r="893">
      <c r="A893" s="51"/>
      <c r="B893" s="51"/>
      <c r="C893" s="51"/>
      <c r="D893" s="51"/>
      <c r="E893" s="51"/>
      <c r="F893" s="54"/>
      <c r="G893" s="55"/>
      <c r="H893" s="54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</row>
    <row r="894">
      <c r="A894" s="51"/>
      <c r="B894" s="51"/>
      <c r="C894" s="51"/>
      <c r="D894" s="51"/>
      <c r="E894" s="51"/>
      <c r="F894" s="54"/>
      <c r="G894" s="55"/>
      <c r="H894" s="54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</row>
    <row r="895">
      <c r="A895" s="51"/>
      <c r="B895" s="51"/>
      <c r="C895" s="51"/>
      <c r="D895" s="51"/>
      <c r="E895" s="51"/>
      <c r="F895" s="54"/>
      <c r="G895" s="55"/>
      <c r="H895" s="54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</row>
    <row r="896">
      <c r="A896" s="51"/>
      <c r="B896" s="51"/>
      <c r="C896" s="51"/>
      <c r="D896" s="51"/>
      <c r="E896" s="51"/>
      <c r="F896" s="54"/>
      <c r="G896" s="55"/>
      <c r="H896" s="54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</row>
    <row r="897">
      <c r="A897" s="51"/>
      <c r="B897" s="51"/>
      <c r="C897" s="51"/>
      <c r="D897" s="51"/>
      <c r="E897" s="51"/>
      <c r="F897" s="54"/>
      <c r="G897" s="55"/>
      <c r="H897" s="54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</row>
    <row r="898">
      <c r="A898" s="51"/>
      <c r="B898" s="51"/>
      <c r="C898" s="51"/>
      <c r="D898" s="51"/>
      <c r="E898" s="51"/>
      <c r="F898" s="54"/>
      <c r="G898" s="55"/>
      <c r="H898" s="54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</row>
    <row r="899">
      <c r="A899" s="51"/>
      <c r="B899" s="51"/>
      <c r="C899" s="51"/>
      <c r="D899" s="51"/>
      <c r="E899" s="51"/>
      <c r="F899" s="54"/>
      <c r="G899" s="55"/>
      <c r="H899" s="54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</row>
    <row r="900">
      <c r="A900" s="51"/>
      <c r="B900" s="51"/>
      <c r="C900" s="51"/>
      <c r="D900" s="51"/>
      <c r="E900" s="51"/>
      <c r="F900" s="54"/>
      <c r="G900" s="55"/>
      <c r="H900" s="54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</row>
    <row r="901">
      <c r="A901" s="51"/>
      <c r="B901" s="51"/>
      <c r="C901" s="51"/>
      <c r="D901" s="51"/>
      <c r="E901" s="51"/>
      <c r="F901" s="54"/>
      <c r="G901" s="55"/>
      <c r="H901" s="54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</row>
    <row r="902">
      <c r="A902" s="51"/>
      <c r="B902" s="51"/>
      <c r="C902" s="51"/>
      <c r="D902" s="51"/>
      <c r="E902" s="51"/>
      <c r="F902" s="54"/>
      <c r="G902" s="55"/>
      <c r="H902" s="54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</row>
    <row r="903">
      <c r="A903" s="51"/>
      <c r="B903" s="51"/>
      <c r="C903" s="51"/>
      <c r="D903" s="51"/>
      <c r="E903" s="51"/>
      <c r="F903" s="54"/>
      <c r="G903" s="55"/>
      <c r="H903" s="54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</row>
    <row r="904">
      <c r="A904" s="51"/>
      <c r="B904" s="51"/>
      <c r="C904" s="51"/>
      <c r="D904" s="51"/>
      <c r="E904" s="51"/>
      <c r="F904" s="54"/>
      <c r="G904" s="55"/>
      <c r="H904" s="54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</row>
    <row r="905">
      <c r="A905" s="51"/>
      <c r="B905" s="51"/>
      <c r="C905" s="51"/>
      <c r="D905" s="51"/>
      <c r="E905" s="51"/>
      <c r="F905" s="54"/>
      <c r="G905" s="55"/>
      <c r="H905" s="54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</row>
    <row r="906">
      <c r="A906" s="51"/>
      <c r="B906" s="51"/>
      <c r="C906" s="51"/>
      <c r="D906" s="51"/>
      <c r="E906" s="51"/>
      <c r="F906" s="54"/>
      <c r="G906" s="55"/>
      <c r="H906" s="54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</row>
    <row r="907">
      <c r="A907" s="51"/>
      <c r="B907" s="51"/>
      <c r="C907" s="51"/>
      <c r="D907" s="51"/>
      <c r="E907" s="51"/>
      <c r="F907" s="54"/>
      <c r="G907" s="55"/>
      <c r="H907" s="54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</row>
    <row r="908">
      <c r="A908" s="51"/>
      <c r="B908" s="51"/>
      <c r="C908" s="51"/>
      <c r="D908" s="51"/>
      <c r="E908" s="51"/>
      <c r="F908" s="54"/>
      <c r="G908" s="55"/>
      <c r="H908" s="54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</row>
    <row r="909">
      <c r="A909" s="51"/>
      <c r="B909" s="51"/>
      <c r="C909" s="51"/>
      <c r="D909" s="51"/>
      <c r="E909" s="51"/>
      <c r="F909" s="54"/>
      <c r="G909" s="55"/>
      <c r="H909" s="54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</row>
    <row r="910">
      <c r="A910" s="51"/>
      <c r="B910" s="51"/>
      <c r="C910" s="51"/>
      <c r="D910" s="51"/>
      <c r="E910" s="51"/>
      <c r="F910" s="54"/>
      <c r="G910" s="55"/>
      <c r="H910" s="54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</row>
    <row r="911">
      <c r="A911" s="51"/>
      <c r="B911" s="51"/>
      <c r="C911" s="51"/>
      <c r="D911" s="51"/>
      <c r="E911" s="51"/>
      <c r="F911" s="54"/>
      <c r="G911" s="55"/>
      <c r="H911" s="54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</row>
    <row r="912">
      <c r="A912" s="51"/>
      <c r="B912" s="51"/>
      <c r="C912" s="51"/>
      <c r="D912" s="51"/>
      <c r="E912" s="51"/>
      <c r="F912" s="54"/>
      <c r="G912" s="55"/>
      <c r="H912" s="54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</row>
    <row r="913">
      <c r="A913" s="51"/>
      <c r="B913" s="51"/>
      <c r="C913" s="51"/>
      <c r="D913" s="51"/>
      <c r="E913" s="51"/>
      <c r="F913" s="54"/>
      <c r="G913" s="55"/>
      <c r="H913" s="54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</row>
    <row r="914">
      <c r="A914" s="51"/>
      <c r="B914" s="51"/>
      <c r="C914" s="51"/>
      <c r="D914" s="51"/>
      <c r="E914" s="51"/>
      <c r="F914" s="54"/>
      <c r="G914" s="55"/>
      <c r="H914" s="54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</row>
    <row r="915">
      <c r="A915" s="51"/>
      <c r="B915" s="51"/>
      <c r="C915" s="51"/>
      <c r="D915" s="51"/>
      <c r="E915" s="51"/>
      <c r="F915" s="54"/>
      <c r="G915" s="55"/>
      <c r="H915" s="54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</row>
    <row r="916">
      <c r="A916" s="51"/>
      <c r="B916" s="51"/>
      <c r="C916" s="51"/>
      <c r="D916" s="51"/>
      <c r="E916" s="51"/>
      <c r="F916" s="54"/>
      <c r="G916" s="55"/>
      <c r="H916" s="54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</row>
    <row r="917">
      <c r="A917" s="51"/>
      <c r="B917" s="51"/>
      <c r="C917" s="51"/>
      <c r="D917" s="51"/>
      <c r="E917" s="51"/>
      <c r="F917" s="54"/>
      <c r="G917" s="55"/>
      <c r="H917" s="54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</row>
    <row r="918">
      <c r="A918" s="51"/>
      <c r="B918" s="51"/>
      <c r="C918" s="51"/>
      <c r="D918" s="51"/>
      <c r="E918" s="51"/>
      <c r="F918" s="54"/>
      <c r="G918" s="55"/>
      <c r="H918" s="54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</row>
    <row r="919">
      <c r="A919" s="51"/>
      <c r="B919" s="51"/>
      <c r="C919" s="51"/>
      <c r="D919" s="51"/>
      <c r="E919" s="51"/>
      <c r="F919" s="54"/>
      <c r="G919" s="55"/>
      <c r="H919" s="54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</row>
    <row r="920">
      <c r="A920" s="51"/>
      <c r="B920" s="51"/>
      <c r="C920" s="51"/>
      <c r="D920" s="51"/>
      <c r="E920" s="51"/>
      <c r="F920" s="54"/>
      <c r="G920" s="55"/>
      <c r="H920" s="54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</row>
    <row r="921">
      <c r="A921" s="51"/>
      <c r="B921" s="51"/>
      <c r="C921" s="51"/>
      <c r="D921" s="51"/>
      <c r="E921" s="51"/>
      <c r="F921" s="54"/>
      <c r="G921" s="55"/>
      <c r="H921" s="54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</row>
    <row r="922">
      <c r="A922" s="51"/>
      <c r="B922" s="51"/>
      <c r="C922" s="51"/>
      <c r="D922" s="51"/>
      <c r="E922" s="51"/>
      <c r="F922" s="54"/>
      <c r="G922" s="55"/>
      <c r="H922" s="54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</row>
    <row r="923">
      <c r="A923" s="51"/>
      <c r="B923" s="51"/>
      <c r="C923" s="51"/>
      <c r="D923" s="51"/>
      <c r="E923" s="51"/>
      <c r="F923" s="54"/>
      <c r="G923" s="55"/>
      <c r="H923" s="54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</row>
    <row r="924">
      <c r="A924" s="51"/>
      <c r="B924" s="51"/>
      <c r="C924" s="51"/>
      <c r="D924" s="51"/>
      <c r="E924" s="51"/>
      <c r="F924" s="54"/>
      <c r="G924" s="55"/>
      <c r="H924" s="54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</row>
    <row r="925">
      <c r="A925" s="51"/>
      <c r="B925" s="51"/>
      <c r="C925" s="51"/>
      <c r="D925" s="51"/>
      <c r="E925" s="51"/>
      <c r="F925" s="54"/>
      <c r="G925" s="55"/>
      <c r="H925" s="54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</row>
    <row r="926">
      <c r="A926" s="51"/>
      <c r="B926" s="51"/>
      <c r="C926" s="51"/>
      <c r="D926" s="51"/>
      <c r="E926" s="51"/>
      <c r="F926" s="54"/>
      <c r="G926" s="55"/>
      <c r="H926" s="54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</row>
    <row r="927">
      <c r="A927" s="51"/>
      <c r="B927" s="51"/>
      <c r="C927" s="51"/>
      <c r="D927" s="51"/>
      <c r="E927" s="51"/>
      <c r="F927" s="54"/>
      <c r="G927" s="55"/>
      <c r="H927" s="54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</row>
    <row r="928">
      <c r="A928" s="51"/>
      <c r="B928" s="51"/>
      <c r="C928" s="51"/>
      <c r="D928" s="51"/>
      <c r="E928" s="51"/>
      <c r="F928" s="54"/>
      <c r="G928" s="55"/>
      <c r="H928" s="54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</row>
    <row r="929">
      <c r="A929" s="51"/>
      <c r="B929" s="51"/>
      <c r="C929" s="51"/>
      <c r="D929" s="51"/>
      <c r="E929" s="51"/>
      <c r="F929" s="54"/>
      <c r="G929" s="55"/>
      <c r="H929" s="54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</row>
    <row r="930">
      <c r="A930" s="51"/>
      <c r="B930" s="51"/>
      <c r="C930" s="51"/>
      <c r="D930" s="51"/>
      <c r="E930" s="51"/>
      <c r="F930" s="54"/>
      <c r="G930" s="55"/>
      <c r="H930" s="54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</row>
    <row r="931">
      <c r="A931" s="51"/>
      <c r="B931" s="51"/>
      <c r="C931" s="51"/>
      <c r="D931" s="51"/>
      <c r="E931" s="51"/>
      <c r="F931" s="54"/>
      <c r="G931" s="55"/>
      <c r="H931" s="54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</row>
    <row r="932">
      <c r="A932" s="51"/>
      <c r="B932" s="51"/>
      <c r="C932" s="51"/>
      <c r="D932" s="51"/>
      <c r="E932" s="51"/>
      <c r="F932" s="54"/>
      <c r="G932" s="55"/>
      <c r="H932" s="54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</row>
    <row r="933">
      <c r="A933" s="51"/>
      <c r="B933" s="51"/>
      <c r="C933" s="51"/>
      <c r="D933" s="51"/>
      <c r="E933" s="51"/>
      <c r="F933" s="54"/>
      <c r="G933" s="55"/>
      <c r="H933" s="54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</row>
    <row r="934">
      <c r="A934" s="51"/>
      <c r="B934" s="51"/>
      <c r="C934" s="51"/>
      <c r="D934" s="51"/>
      <c r="E934" s="51"/>
      <c r="F934" s="54"/>
      <c r="G934" s="55"/>
      <c r="H934" s="54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</row>
    <row r="935">
      <c r="A935" s="51"/>
      <c r="B935" s="51"/>
      <c r="C935" s="51"/>
      <c r="D935" s="51"/>
      <c r="E935" s="51"/>
      <c r="F935" s="54"/>
      <c r="G935" s="55"/>
      <c r="H935" s="54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</row>
    <row r="936">
      <c r="A936" s="51"/>
      <c r="B936" s="51"/>
      <c r="C936" s="51"/>
      <c r="D936" s="51"/>
      <c r="E936" s="51"/>
      <c r="F936" s="54"/>
      <c r="G936" s="55"/>
      <c r="H936" s="54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</row>
    <row r="937">
      <c r="A937" s="51"/>
      <c r="B937" s="51"/>
      <c r="C937" s="51"/>
      <c r="D937" s="51"/>
      <c r="E937" s="51"/>
      <c r="F937" s="54"/>
      <c r="G937" s="55"/>
      <c r="H937" s="54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</row>
    <row r="938">
      <c r="A938" s="51"/>
      <c r="B938" s="51"/>
      <c r="C938" s="51"/>
      <c r="D938" s="51"/>
      <c r="E938" s="51"/>
      <c r="F938" s="54"/>
      <c r="G938" s="55"/>
      <c r="H938" s="54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</row>
    <row r="939">
      <c r="A939" s="51"/>
      <c r="B939" s="51"/>
      <c r="C939" s="51"/>
      <c r="D939" s="51"/>
      <c r="E939" s="51"/>
      <c r="F939" s="54"/>
      <c r="G939" s="55"/>
      <c r="H939" s="54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</row>
    <row r="940">
      <c r="A940" s="51"/>
      <c r="B940" s="51"/>
      <c r="C940" s="51"/>
      <c r="D940" s="51"/>
      <c r="E940" s="51"/>
      <c r="F940" s="54"/>
      <c r="G940" s="55"/>
      <c r="H940" s="54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</row>
    <row r="941">
      <c r="A941" s="51"/>
      <c r="B941" s="51"/>
      <c r="C941" s="51"/>
      <c r="D941" s="51"/>
      <c r="E941" s="51"/>
      <c r="F941" s="54"/>
      <c r="G941" s="55"/>
      <c r="H941" s="54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</row>
    <row r="942">
      <c r="A942" s="51"/>
      <c r="B942" s="51"/>
      <c r="C942" s="51"/>
      <c r="D942" s="51"/>
      <c r="E942" s="51"/>
      <c r="F942" s="54"/>
      <c r="G942" s="55"/>
      <c r="H942" s="54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</row>
    <row r="943">
      <c r="A943" s="51"/>
      <c r="B943" s="51"/>
      <c r="C943" s="51"/>
      <c r="D943" s="51"/>
      <c r="E943" s="51"/>
      <c r="F943" s="54"/>
      <c r="G943" s="55"/>
      <c r="H943" s="54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</row>
    <row r="944">
      <c r="A944" s="51"/>
      <c r="B944" s="51"/>
      <c r="C944" s="51"/>
      <c r="D944" s="51"/>
      <c r="E944" s="51"/>
      <c r="F944" s="54"/>
      <c r="G944" s="55"/>
      <c r="H944" s="54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</row>
    <row r="945">
      <c r="A945" s="51"/>
      <c r="B945" s="51"/>
      <c r="C945" s="51"/>
      <c r="D945" s="51"/>
      <c r="E945" s="51"/>
      <c r="F945" s="54"/>
      <c r="G945" s="55"/>
      <c r="H945" s="54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</row>
    <row r="946">
      <c r="A946" s="51"/>
      <c r="B946" s="51"/>
      <c r="C946" s="51"/>
      <c r="D946" s="51"/>
      <c r="E946" s="51"/>
      <c r="F946" s="54"/>
      <c r="G946" s="55"/>
      <c r="H946" s="54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</row>
    <row r="947">
      <c r="A947" s="51"/>
      <c r="B947" s="51"/>
      <c r="C947" s="51"/>
      <c r="D947" s="51"/>
      <c r="E947" s="51"/>
      <c r="F947" s="54"/>
      <c r="G947" s="55"/>
      <c r="H947" s="54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</row>
    <row r="948">
      <c r="A948" s="51"/>
      <c r="B948" s="51"/>
      <c r="C948" s="51"/>
      <c r="D948" s="51"/>
      <c r="E948" s="51"/>
      <c r="F948" s="54"/>
      <c r="G948" s="55"/>
      <c r="H948" s="54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</row>
    <row r="949">
      <c r="A949" s="51"/>
      <c r="B949" s="51"/>
      <c r="C949" s="51"/>
      <c r="D949" s="51"/>
      <c r="E949" s="51"/>
      <c r="F949" s="54"/>
      <c r="G949" s="55"/>
      <c r="H949" s="54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</row>
    <row r="950">
      <c r="A950" s="51"/>
      <c r="B950" s="51"/>
      <c r="C950" s="51"/>
      <c r="D950" s="51"/>
      <c r="E950" s="51"/>
      <c r="F950" s="54"/>
      <c r="G950" s="55"/>
      <c r="H950" s="54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</row>
    <row r="951">
      <c r="A951" s="51"/>
      <c r="B951" s="51"/>
      <c r="C951" s="51"/>
      <c r="D951" s="51"/>
      <c r="E951" s="51"/>
      <c r="F951" s="54"/>
      <c r="G951" s="55"/>
      <c r="H951" s="54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</row>
    <row r="952">
      <c r="A952" s="51"/>
      <c r="B952" s="51"/>
      <c r="C952" s="51"/>
      <c r="D952" s="51"/>
      <c r="E952" s="51"/>
      <c r="F952" s="54"/>
      <c r="G952" s="55"/>
      <c r="H952" s="54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</row>
    <row r="953">
      <c r="A953" s="51"/>
      <c r="B953" s="51"/>
      <c r="C953" s="51"/>
      <c r="D953" s="51"/>
      <c r="E953" s="51"/>
      <c r="F953" s="54"/>
      <c r="G953" s="55"/>
      <c r="H953" s="54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</row>
    <row r="954">
      <c r="A954" s="51"/>
      <c r="B954" s="51"/>
      <c r="C954" s="51"/>
      <c r="D954" s="51"/>
      <c r="E954" s="51"/>
      <c r="F954" s="54"/>
      <c r="G954" s="55"/>
      <c r="H954" s="54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</row>
    <row r="955">
      <c r="A955" s="51"/>
      <c r="B955" s="51"/>
      <c r="C955" s="51"/>
      <c r="D955" s="51"/>
      <c r="E955" s="51"/>
      <c r="F955" s="54"/>
      <c r="G955" s="55"/>
      <c r="H955" s="54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</row>
    <row r="956">
      <c r="A956" s="51"/>
      <c r="B956" s="51"/>
      <c r="C956" s="51"/>
      <c r="D956" s="51"/>
      <c r="E956" s="51"/>
      <c r="F956" s="54"/>
      <c r="G956" s="55"/>
      <c r="H956" s="54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</row>
    <row r="957">
      <c r="A957" s="51"/>
      <c r="B957" s="51"/>
      <c r="C957" s="51"/>
      <c r="D957" s="51"/>
      <c r="E957" s="51"/>
      <c r="F957" s="54"/>
      <c r="G957" s="55"/>
      <c r="H957" s="54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</row>
    <row r="958">
      <c r="A958" s="51"/>
      <c r="B958" s="51"/>
      <c r="C958" s="51"/>
      <c r="D958" s="51"/>
      <c r="E958" s="51"/>
      <c r="F958" s="54"/>
      <c r="G958" s="55"/>
      <c r="H958" s="54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</row>
    <row r="959">
      <c r="A959" s="51"/>
      <c r="B959" s="51"/>
      <c r="C959" s="51"/>
      <c r="D959" s="51"/>
      <c r="E959" s="51"/>
      <c r="F959" s="54"/>
      <c r="G959" s="55"/>
      <c r="H959" s="54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</row>
    <row r="960">
      <c r="A960" s="51"/>
      <c r="B960" s="51"/>
      <c r="C960" s="51"/>
      <c r="D960" s="51"/>
      <c r="E960" s="51"/>
      <c r="F960" s="54"/>
      <c r="G960" s="55"/>
      <c r="H960" s="54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</row>
    <row r="961">
      <c r="A961" s="51"/>
      <c r="B961" s="51"/>
      <c r="C961" s="51"/>
      <c r="D961" s="51"/>
      <c r="E961" s="51"/>
      <c r="F961" s="54"/>
      <c r="G961" s="55"/>
      <c r="H961" s="54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</row>
    <row r="962">
      <c r="A962" s="51"/>
      <c r="B962" s="51"/>
      <c r="C962" s="51"/>
      <c r="D962" s="51"/>
      <c r="E962" s="51"/>
      <c r="F962" s="54"/>
      <c r="G962" s="55"/>
      <c r="H962" s="54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</row>
    <row r="963">
      <c r="A963" s="51"/>
      <c r="B963" s="51"/>
      <c r="C963" s="51"/>
      <c r="D963" s="51"/>
      <c r="E963" s="51"/>
      <c r="F963" s="54"/>
      <c r="G963" s="55"/>
      <c r="H963" s="54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</row>
    <row r="964">
      <c r="A964" s="51"/>
      <c r="B964" s="51"/>
      <c r="C964" s="51"/>
      <c r="D964" s="51"/>
      <c r="E964" s="51"/>
      <c r="F964" s="54"/>
      <c r="G964" s="55"/>
      <c r="H964" s="54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</row>
    <row r="965">
      <c r="A965" s="51"/>
      <c r="B965" s="51"/>
      <c r="C965" s="51"/>
      <c r="D965" s="51"/>
      <c r="E965" s="51"/>
      <c r="F965" s="54"/>
      <c r="G965" s="55"/>
      <c r="H965" s="54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</row>
    <row r="966">
      <c r="A966" s="51"/>
      <c r="B966" s="51"/>
      <c r="C966" s="51"/>
      <c r="D966" s="51"/>
      <c r="E966" s="51"/>
      <c r="F966" s="54"/>
      <c r="G966" s="55"/>
      <c r="H966" s="54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</row>
    <row r="967">
      <c r="A967" s="51"/>
      <c r="B967" s="51"/>
      <c r="C967" s="51"/>
      <c r="D967" s="51"/>
      <c r="E967" s="51"/>
      <c r="F967" s="54"/>
      <c r="G967" s="55"/>
      <c r="H967" s="54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</row>
    <row r="968">
      <c r="A968" s="51"/>
      <c r="B968" s="51"/>
      <c r="C968" s="51"/>
      <c r="D968" s="51"/>
      <c r="E968" s="51"/>
      <c r="F968" s="54"/>
      <c r="G968" s="55"/>
      <c r="H968" s="54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</row>
    <row r="969">
      <c r="A969" s="51"/>
      <c r="B969" s="51"/>
      <c r="C969" s="51"/>
      <c r="D969" s="51"/>
      <c r="E969" s="51"/>
      <c r="F969" s="54"/>
      <c r="G969" s="55"/>
      <c r="H969" s="54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</row>
    <row r="970">
      <c r="A970" s="51"/>
      <c r="B970" s="51"/>
      <c r="C970" s="51"/>
      <c r="D970" s="51"/>
      <c r="E970" s="51"/>
      <c r="F970" s="54"/>
      <c r="G970" s="55"/>
      <c r="H970" s="54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</row>
    <row r="971">
      <c r="A971" s="51"/>
      <c r="B971" s="51"/>
      <c r="C971" s="51"/>
      <c r="D971" s="51"/>
      <c r="E971" s="51"/>
      <c r="F971" s="54"/>
      <c r="G971" s="55"/>
      <c r="H971" s="54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</row>
    <row r="972">
      <c r="A972" s="51"/>
      <c r="B972" s="51"/>
      <c r="C972" s="51"/>
      <c r="D972" s="51"/>
      <c r="E972" s="51"/>
      <c r="F972" s="54"/>
      <c r="G972" s="55"/>
      <c r="H972" s="54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</row>
    <row r="973">
      <c r="A973" s="51"/>
      <c r="B973" s="51"/>
      <c r="C973" s="51"/>
      <c r="D973" s="51"/>
      <c r="E973" s="51"/>
      <c r="F973" s="54"/>
      <c r="G973" s="55"/>
      <c r="H973" s="54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</row>
    <row r="974">
      <c r="A974" s="51"/>
      <c r="B974" s="51"/>
      <c r="C974" s="51"/>
      <c r="D974" s="51"/>
      <c r="E974" s="51"/>
      <c r="F974" s="54"/>
      <c r="G974" s="55"/>
      <c r="H974" s="54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</row>
    <row r="975">
      <c r="A975" s="51"/>
      <c r="B975" s="51"/>
      <c r="C975" s="51"/>
      <c r="D975" s="51"/>
      <c r="E975" s="51"/>
      <c r="F975" s="54"/>
      <c r="G975" s="55"/>
      <c r="H975" s="54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</row>
    <row r="976">
      <c r="A976" s="51"/>
      <c r="B976" s="51"/>
      <c r="C976" s="51"/>
      <c r="D976" s="51"/>
      <c r="E976" s="51"/>
      <c r="F976" s="54"/>
      <c r="G976" s="55"/>
      <c r="H976" s="54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</row>
    <row r="977">
      <c r="A977" s="51"/>
      <c r="B977" s="51"/>
      <c r="C977" s="51"/>
      <c r="D977" s="51"/>
      <c r="E977" s="51"/>
      <c r="F977" s="54"/>
      <c r="G977" s="55"/>
      <c r="H977" s="54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</row>
    <row r="978">
      <c r="A978" s="51"/>
      <c r="B978" s="51"/>
      <c r="C978" s="51"/>
      <c r="D978" s="51"/>
      <c r="E978" s="51"/>
      <c r="F978" s="54"/>
      <c r="G978" s="55"/>
      <c r="H978" s="54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</row>
    <row r="979">
      <c r="A979" s="51"/>
      <c r="B979" s="51"/>
      <c r="C979" s="51"/>
      <c r="D979" s="51"/>
      <c r="E979" s="51"/>
      <c r="F979" s="54"/>
      <c r="G979" s="55"/>
      <c r="H979" s="54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</row>
    <row r="980">
      <c r="A980" s="51"/>
      <c r="B980" s="51"/>
      <c r="C980" s="51"/>
      <c r="D980" s="51"/>
      <c r="E980" s="51"/>
      <c r="F980" s="54"/>
      <c r="G980" s="55"/>
      <c r="H980" s="54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</row>
    <row r="981">
      <c r="A981" s="51"/>
      <c r="B981" s="51"/>
      <c r="C981" s="51"/>
      <c r="D981" s="51"/>
      <c r="E981" s="51"/>
      <c r="F981" s="54"/>
      <c r="G981" s="55"/>
      <c r="H981" s="54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</row>
    <row r="982">
      <c r="A982" s="51"/>
      <c r="B982" s="51"/>
      <c r="C982" s="51"/>
      <c r="D982" s="51"/>
      <c r="E982" s="51"/>
      <c r="F982" s="54"/>
      <c r="G982" s="55"/>
      <c r="H982" s="54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</row>
    <row r="983">
      <c r="A983" s="51"/>
      <c r="B983" s="51"/>
      <c r="C983" s="51"/>
      <c r="D983" s="51"/>
      <c r="E983" s="51"/>
      <c r="F983" s="54"/>
      <c r="G983" s="55"/>
      <c r="H983" s="54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</row>
    <row r="984">
      <c r="A984" s="51"/>
      <c r="B984" s="51"/>
      <c r="C984" s="51"/>
      <c r="D984" s="51"/>
      <c r="E984" s="51"/>
      <c r="F984" s="54"/>
      <c r="G984" s="55"/>
      <c r="H984" s="54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</row>
    <row r="985">
      <c r="A985" s="51"/>
      <c r="B985" s="51"/>
      <c r="C985" s="51"/>
      <c r="D985" s="51"/>
      <c r="E985" s="51"/>
      <c r="F985" s="54"/>
      <c r="G985" s="55"/>
      <c r="H985" s="54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</row>
    <row r="986">
      <c r="A986" s="51"/>
      <c r="B986" s="51"/>
      <c r="C986" s="51"/>
      <c r="D986" s="51"/>
      <c r="E986" s="51"/>
      <c r="F986" s="54"/>
      <c r="G986" s="55"/>
      <c r="H986" s="54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</row>
    <row r="987">
      <c r="A987" s="51"/>
      <c r="B987" s="51"/>
      <c r="C987" s="51"/>
      <c r="D987" s="51"/>
      <c r="E987" s="51"/>
      <c r="F987" s="54"/>
      <c r="G987" s="55"/>
      <c r="H987" s="54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</row>
    <row r="988">
      <c r="A988" s="51"/>
      <c r="B988" s="51"/>
      <c r="C988" s="51"/>
      <c r="D988" s="51"/>
      <c r="E988" s="51"/>
      <c r="F988" s="54"/>
      <c r="G988" s="55"/>
      <c r="H988" s="54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</row>
    <row r="989">
      <c r="A989" s="51"/>
      <c r="B989" s="51"/>
      <c r="C989" s="51"/>
      <c r="D989" s="51"/>
      <c r="E989" s="51"/>
      <c r="F989" s="54"/>
      <c r="G989" s="55"/>
      <c r="H989" s="54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</row>
    <row r="990">
      <c r="A990" s="51"/>
      <c r="B990" s="51"/>
      <c r="C990" s="51"/>
      <c r="D990" s="51"/>
      <c r="E990" s="51"/>
      <c r="F990" s="54"/>
      <c r="G990" s="55"/>
      <c r="H990" s="54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</row>
    <row r="991">
      <c r="A991" s="51"/>
      <c r="B991" s="51"/>
      <c r="C991" s="51"/>
      <c r="D991" s="51"/>
      <c r="E991" s="51"/>
      <c r="F991" s="54"/>
      <c r="G991" s="55"/>
      <c r="H991" s="54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</row>
    <row r="992">
      <c r="A992" s="51"/>
      <c r="B992" s="51"/>
      <c r="C992" s="51"/>
      <c r="D992" s="51"/>
      <c r="E992" s="51"/>
      <c r="F992" s="54"/>
      <c r="G992" s="55"/>
      <c r="H992" s="54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</row>
    <row r="993">
      <c r="A993" s="51"/>
      <c r="B993" s="51"/>
      <c r="C993" s="51"/>
      <c r="D993" s="51"/>
      <c r="E993" s="51"/>
      <c r="F993" s="54"/>
      <c r="G993" s="55"/>
      <c r="H993" s="54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</row>
    <row r="994">
      <c r="A994" s="51"/>
      <c r="B994" s="51"/>
      <c r="C994" s="51"/>
      <c r="D994" s="51"/>
      <c r="E994" s="51"/>
      <c r="F994" s="54"/>
      <c r="G994" s="55"/>
      <c r="H994" s="54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</row>
    <row r="995">
      <c r="A995" s="51"/>
      <c r="B995" s="51"/>
      <c r="C995" s="51"/>
      <c r="D995" s="51"/>
      <c r="E995" s="51"/>
      <c r="F995" s="54"/>
      <c r="G995" s="55"/>
      <c r="H995" s="54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</row>
    <row r="996">
      <c r="A996" s="51"/>
      <c r="B996" s="51"/>
      <c r="C996" s="51"/>
      <c r="D996" s="51"/>
      <c r="E996" s="51"/>
      <c r="F996" s="54"/>
      <c r="G996" s="55"/>
      <c r="H996" s="54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</row>
    <row r="997">
      <c r="A997" s="51"/>
      <c r="B997" s="51"/>
      <c r="C997" s="51"/>
      <c r="D997" s="51"/>
      <c r="E997" s="51"/>
      <c r="F997" s="54"/>
      <c r="G997" s="55"/>
      <c r="H997" s="54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</row>
    <row r="998">
      <c r="A998" s="51"/>
      <c r="B998" s="51"/>
      <c r="C998" s="51"/>
      <c r="D998" s="51"/>
      <c r="E998" s="51"/>
      <c r="F998" s="54"/>
      <c r="G998" s="55"/>
      <c r="H998" s="54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</row>
    <row r="999">
      <c r="A999" s="51"/>
      <c r="B999" s="51"/>
      <c r="C999" s="51"/>
      <c r="D999" s="51"/>
      <c r="E999" s="51"/>
      <c r="F999" s="54"/>
      <c r="G999" s="55"/>
      <c r="H999" s="54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</row>
    <row r="1000">
      <c r="A1000" s="51"/>
      <c r="B1000" s="51"/>
      <c r="C1000" s="51"/>
      <c r="D1000" s="51"/>
      <c r="E1000" s="51"/>
      <c r="F1000" s="54"/>
      <c r="G1000" s="55"/>
      <c r="H1000" s="54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</row>
  </sheetData>
  <mergeCells count="15">
    <mergeCell ref="H2:H3"/>
    <mergeCell ref="G2:G3"/>
    <mergeCell ref="F2:F3"/>
    <mergeCell ref="E2:E3"/>
    <mergeCell ref="D2:D3"/>
    <mergeCell ref="C2:C3"/>
    <mergeCell ref="B2:B3"/>
    <mergeCell ref="A2:A3"/>
    <mergeCell ref="B1:I1"/>
    <mergeCell ref="J2:J3"/>
    <mergeCell ref="K2:K3"/>
    <mergeCell ref="L2:L3"/>
    <mergeCell ref="M2:T2"/>
    <mergeCell ref="U2:AD2"/>
    <mergeCell ref="I2:I3"/>
  </mergeCells>
  <dataValidations>
    <dataValidation type="list" allowBlank="1" showErrorMessage="1" sqref="N8">
      <formula1>"PE,CE,BA,RN,AL,PI,MA,PB"</formula1>
    </dataValidation>
    <dataValidation type="list" allowBlank="1" showErrorMessage="1" sqref="O4:O55">
      <formula1>"Mata Atlântica,Caatinga,Cerrado,Amazônia"</formula1>
    </dataValidation>
    <dataValidation type="list" allowBlank="1" showErrorMessage="1" sqref="R4:R55">
      <formula1>"Terciário,Secundário"</formula1>
    </dataValidation>
    <dataValidation type="list" allowBlank="1" sqref="U4:AD55">
      <formula1>"1,2,3"</formula1>
    </dataValidation>
    <dataValidation type="list" allowBlank="1" showErrorMessage="1" sqref="N4:N7 N9:N55">
      <formula1>"PE,CE,BA,RN,AL,PI,MA,PB,SE"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34.0"/>
    <col customWidth="1" min="3" max="3" width="48.0"/>
    <col customWidth="1" min="4" max="4" width="24.0"/>
    <col customWidth="1" min="5" max="5" width="32.0"/>
    <col customWidth="1" min="6" max="6" width="20.0"/>
    <col customWidth="1" min="7" max="7" width="14.0"/>
    <col customWidth="1" min="8" max="8" width="18.0"/>
    <col customWidth="1" min="9" max="9" width="28.13"/>
    <col customWidth="1" min="10" max="10" width="16.0"/>
    <col customWidth="1" min="11" max="11" width="28.0"/>
    <col customWidth="1" min="12" max="12" width="12.0"/>
    <col customWidth="1" min="13" max="13" width="34.0"/>
    <col customWidth="1" min="14" max="14" width="12.0"/>
    <col customWidth="1" min="15" max="17" width="11.0"/>
    <col customWidth="1" min="18" max="26" width="8.63"/>
  </cols>
  <sheetData>
    <row r="1" ht="21.75" customHeight="1">
      <c r="A1" s="56" t="s">
        <v>468</v>
      </c>
      <c r="B1" s="56" t="s">
        <v>469</v>
      </c>
      <c r="C1" s="56" t="s">
        <v>470</v>
      </c>
      <c r="D1" s="56" t="s">
        <v>471</v>
      </c>
      <c r="E1" s="56" t="s">
        <v>472</v>
      </c>
      <c r="F1" s="56" t="s">
        <v>473</v>
      </c>
      <c r="G1" s="56" t="s">
        <v>474</v>
      </c>
      <c r="H1" s="56" t="s">
        <v>475</v>
      </c>
      <c r="I1" s="56" t="s">
        <v>476</v>
      </c>
      <c r="J1" s="56" t="s">
        <v>477</v>
      </c>
      <c r="K1" s="56" t="s">
        <v>478</v>
      </c>
      <c r="L1" s="56" t="s">
        <v>479</v>
      </c>
      <c r="M1" s="56" t="s">
        <v>480</v>
      </c>
      <c r="N1" s="56" t="s">
        <v>481</v>
      </c>
      <c r="O1" s="56" t="s">
        <v>482</v>
      </c>
      <c r="P1" s="56" t="s">
        <v>483</v>
      </c>
      <c r="Q1" s="56" t="s">
        <v>484</v>
      </c>
    </row>
    <row r="2">
      <c r="A2" s="57">
        <f>IF('Exercício - Matriz de avaliação'!A4="","",'Exercício - Matriz de avaliação'!A4)</f>
        <v>1</v>
      </c>
      <c r="B2" s="57" t="str">
        <f>IF('Exercício - Matriz de avaliação'!B4="","",'Exercício - Matriz de avaliação'!B4)</f>
        <v>Acreditar Microcrédito</v>
      </c>
      <c r="C2" s="57" t="str">
        <f>IF('Exercício - Matriz de avaliação'!C4="","",'Exercício - Matriz de avaliação'!C4)</f>
        <v>Oferecer microcrédito produtivo orientado e educação financeira para grupo de mulheres e jovens, com foco em pequenos empreendimentos e agricultura familiar. O projeto tem apoio da Aliança Empreendedora.</v>
      </c>
      <c r="D2" s="57" t="str">
        <f>IF('Exercício - Matriz de avaliação'!D4="","",'Exercício - Matriz de avaliação'!D4)</f>
        <v>Microcrédito; Finanças solidárias</v>
      </c>
      <c r="E2" s="58" t="str">
        <f>IF('Exercício - Matriz de avaliação'!E4="","",'Exercício - Matriz de avaliação'!E4)</f>
        <v>Acreditar Sociedade de Crédito ao Microempreendedor (com apoio da Aliança Empreendedora)</v>
      </c>
      <c r="F2" s="58" t="str">
        <f>IF('Exercício - Matriz de avaliação'!F4="","",'Exercício - Matriz de avaliação'!F4)</f>
        <v>08.834.501/0001-85</v>
      </c>
      <c r="G2" s="58" t="str">
        <f>IF('Exercício - Matriz de avaliação'!G4="","",'Exercício - Matriz de avaliação'!G4)</f>
        <v>27/04/2007</v>
      </c>
      <c r="H2" s="57" t="str">
        <f>IF('Exercício - Matriz de avaliação'!M4="","",'Exercício - Matriz de avaliação'!M4)</f>
        <v>Glória do Goitá</v>
      </c>
      <c r="I2" s="57" t="str">
        <f>IF('Exercício - Matriz de avaliação'!N4="","",'Exercício - Matriz de avaliação'!N4)</f>
        <v>PE</v>
      </c>
      <c r="J2" s="57" t="str">
        <f>IF('Exercício - Matriz de avaliação'!O4="","",'Exercício - Matriz de avaliação'!O4)</f>
        <v>Mata Atlântica</v>
      </c>
      <c r="K2" s="57" t="str">
        <f>IF('Exercício - Matriz de avaliação'!P4="","",'Exercício - Matriz de avaliação'!P4)</f>
        <v>1. Finanças Sustentáveis e Inclusivas</v>
      </c>
      <c r="L2" s="57" t="str">
        <f>IF('Exercício - Matriz de avaliação'!R4="","",'Exercício - Matriz de avaliação'!R4)</f>
        <v>Terciário</v>
      </c>
      <c r="M2" s="57" t="str">
        <f>IF('Exercício - Matriz de avaliação'!S4="","",'Exercício - Matriz de avaliação'!S4)</f>
        <v>Associação Privada</v>
      </c>
      <c r="N2" s="57" t="str">
        <f>IF('Exercício - Matriz de avaliação'!L4="","",'Exercício - Matriz de avaliação'!L4)</f>
        <v>Lucas</v>
      </c>
      <c r="O2" s="59">
        <f>IF('Exercício - Matriz de avaliação'!J4="","",'Exercício - Matriz de avaliação'!J4)</f>
        <v>-8.0017</v>
      </c>
      <c r="P2" s="59">
        <f>IF('Exercício - Matriz de avaliação'!K4="","",'Exercício - Matriz de avaliação'!K4)</f>
        <v>-35.2928</v>
      </c>
      <c r="Q2" s="57">
        <f>IF('Exercício - Matriz de avaliação'!AE4="","",'Exercício - Matriz de avaliação'!AE4)</f>
        <v>0</v>
      </c>
    </row>
    <row r="3">
      <c r="A3" s="57">
        <f>IF('Exercício - Matriz de avaliação'!A5="","",'Exercício - Matriz de avaliação'!A5)</f>
        <v>2</v>
      </c>
      <c r="B3" s="57" t="str">
        <f>IF('Exercício - Matriz de avaliação'!B5="","",'Exercício - Matriz de avaliação'!B5)</f>
        <v>Banco Palmas</v>
      </c>
      <c r="C3" s="57" t="str">
        <f>IF('Exercício - Matriz de avaliação'!C5="","",'Exercício - Matriz de avaliação'!C5)</f>
        <v>Democratizar o acesso a serviços financeiros e bancários para a população de baixa renda do Conjunto Palmeiras, impulsionando o desenvolvimento socioeconômico local por meio de banco comunitário, microcrédito, moeda social e apoio a empreendedores do bairro</v>
      </c>
      <c r="D3" s="57" t="str">
        <f>IF('Exercício - Matriz de avaliação'!D5="","",'Exercício - Matriz de avaliação'!D5)</f>
        <v>Banco comunitário; moeda social</v>
      </c>
      <c r="E3" s="58" t="str">
        <f>IF('Exercício - Matriz de avaliação'!E5="","",'Exercício - Matriz de avaliação'!E5)</f>
        <v>Instituto Palmas de Desenvolvimento e Socioeconomia Solidária</v>
      </c>
      <c r="F3" s="58" t="str">
        <f>IF('Exercício - Matriz de avaliação'!F5="","",'Exercício - Matriz de avaliação'!F5)</f>
        <v>05.705.438/0001-99</v>
      </c>
      <c r="G3" s="58" t="str">
        <f>IF('Exercício - Matriz de avaliação'!G5="","",'Exercício - Matriz de avaliação'!G5)</f>
        <v>17/06/2003</v>
      </c>
      <c r="H3" s="57" t="str">
        <f>IF('Exercício - Matriz de avaliação'!M5="","",'Exercício - Matriz de avaliação'!M5)</f>
        <v>Fortaleza</v>
      </c>
      <c r="I3" s="57" t="str">
        <f>IF('Exercício - Matriz de avaliação'!N5="","",'Exercício - Matriz de avaliação'!N5)</f>
        <v>CE</v>
      </c>
      <c r="J3" s="57" t="str">
        <f>IF('Exercício - Matriz de avaliação'!O5="","",'Exercício - Matriz de avaliação'!O5)</f>
        <v>Mata Atlântica</v>
      </c>
      <c r="K3" s="57" t="str">
        <f>IF('Exercício - Matriz de avaliação'!P5="","",'Exercício - Matriz de avaliação'!P5)</f>
        <v>1. Finanças Sustentáveis e Inclusivas</v>
      </c>
      <c r="L3" s="57" t="str">
        <f>IF('Exercício - Matriz de avaliação'!R5="","",'Exercício - Matriz de avaliação'!R5)</f>
        <v>Terciário</v>
      </c>
      <c r="M3" s="57" t="str">
        <f>IF('Exercício - Matriz de avaliação'!S5="","",'Exercício - Matriz de avaliação'!S5)</f>
        <v>Associação Privada</v>
      </c>
      <c r="N3" s="57" t="str">
        <f>IF('Exercício - Matriz de avaliação'!L5="","",'Exercício - Matriz de avaliação'!L5)</f>
        <v>Lucas</v>
      </c>
      <c r="O3" s="59">
        <f>IF('Exercício - Matriz de avaliação'!J5="","",'Exercício - Matriz de avaliação'!J5)</f>
        <v>-3.7319</v>
      </c>
      <c r="P3" s="59">
        <f>IF('Exercício - Matriz de avaliação'!K5="","",'Exercício - Matriz de avaliação'!K5)</f>
        <v>-38.5267</v>
      </c>
      <c r="Q3" s="57">
        <f>IF('Exercício - Matriz de avaliação'!AE5="","",'Exercício - Matriz de avaliação'!AE5)</f>
        <v>0</v>
      </c>
    </row>
    <row r="4">
      <c r="A4" s="57">
        <f>IF('Exercício - Matriz de avaliação'!A6="","",'Exercício - Matriz de avaliação'!A6)</f>
        <v>3</v>
      </c>
      <c r="B4" s="57" t="str">
        <f>IF('Exercício - Matriz de avaliação'!B6="","",'Exercício - Matriz de avaliação'!B6)</f>
        <v>COGEFUR – Conselho Gestor do Fundo Rotativo</v>
      </c>
      <c r="C4" s="57" t="str">
        <f>IF('Exercício - Matriz de avaliação'!C6="","",'Exercício - Matriz de avaliação'!C6)</f>
        <v>Articular e gerir fundos rotativos solidários em rede, fortalecendo cooperativas de crédito, associações comunitárias e iniciativas de agricultura familiar por meio de linhas de capital de giro e instrumentos de finanças solidárias.</v>
      </c>
      <c r="D4" s="57" t="str">
        <f>IF('Exercício - Matriz de avaliação'!D6="","",'Exercício - Matriz de avaliação'!D6)</f>
        <v>Economia solidária; microcrédito</v>
      </c>
      <c r="E4" s="58" t="str">
        <f>IF('Exercício - Matriz de avaliação'!E6="","",'Exercício - Matriz de avaliação'!E6)</f>
        <v>Conselho Gestor do Fundo Rotativo (COGEFUR)</v>
      </c>
      <c r="F4" s="58" t="str">
        <f>IF('Exercício - Matriz de avaliação'!F6="","",'Exercício - Matriz de avaliação'!F6)</f>
        <v>04.578.438/0001-02</v>
      </c>
      <c r="G4" s="58" t="str">
        <f>IF('Exercício - Matriz de avaliação'!G6="","",'Exercício - Matriz de avaliação'!G6)</f>
        <v>04/07/2001</v>
      </c>
      <c r="H4" s="57" t="str">
        <f>IF('Exercício - Matriz de avaliação'!M6="","",'Exercício - Matriz de avaliação'!M6)</f>
        <v>Serrinha</v>
      </c>
      <c r="I4" s="57" t="str">
        <f>IF('Exercício - Matriz de avaliação'!N6="","",'Exercício - Matriz de avaliação'!N6)</f>
        <v>BA</v>
      </c>
      <c r="J4" s="57" t="str">
        <f>IF('Exercício - Matriz de avaliação'!O6="","",'Exercício - Matriz de avaliação'!O6)</f>
        <v>Caatinga</v>
      </c>
      <c r="K4" s="57" t="str">
        <f>IF('Exercício - Matriz de avaliação'!P6="","",'Exercício - Matriz de avaliação'!P6)</f>
        <v>1. Finanças Sustentáveis e Inclusivas</v>
      </c>
      <c r="L4" s="57" t="str">
        <f>IF('Exercício - Matriz de avaliação'!R6="","",'Exercício - Matriz de avaliação'!R6)</f>
        <v>Terciário</v>
      </c>
      <c r="M4" s="57" t="str">
        <f>IF('Exercício - Matriz de avaliação'!S6="","",'Exercício - Matriz de avaliação'!S6)</f>
        <v>Associação Privada</v>
      </c>
      <c r="N4" s="57" t="str">
        <f>IF('Exercício - Matriz de avaliação'!L6="","",'Exercício - Matriz de avaliação'!L6)</f>
        <v>Lucas</v>
      </c>
      <c r="O4" s="59">
        <f>IF('Exercício - Matriz de avaliação'!J6="","",'Exercício - Matriz de avaliação'!J6)</f>
        <v>-11.6644</v>
      </c>
      <c r="P4" s="59">
        <f>IF('Exercício - Matriz de avaliação'!K6="","",'Exercício - Matriz de avaliação'!K6)</f>
        <v>-39.0078</v>
      </c>
      <c r="Q4" s="57">
        <f>IF('Exercício - Matriz de avaliação'!AE6="","",'Exercício - Matriz de avaliação'!AE6)</f>
        <v>0</v>
      </c>
    </row>
    <row r="5">
      <c r="A5" s="57">
        <f>IF('Exercício - Matriz de avaliação'!A7="","",'Exercício - Matriz de avaliação'!A7)</f>
        <v>4</v>
      </c>
      <c r="B5" s="57" t="str">
        <f>IF('Exercício - Matriz de avaliação'!B7="","",'Exercício - Matriz de avaliação'!B7)</f>
        <v>Banco Comunitário de Araçoiaba</v>
      </c>
      <c r="C5" s="57" t="str">
        <f>IF('Exercício - Matriz de avaliação'!C7="","",'Exercício - Matriz de avaliação'!C7)</f>
        <v>Promover inclusão financeira na RM de Recife por meio da moeda social Caiana, estimulando consumo em comércios locais e acesso a crédito popular.</v>
      </c>
      <c r="D5" s="57" t="str">
        <f>IF('Exercício - Matriz de avaliação'!D7="","",'Exercício - Matriz de avaliação'!D7)</f>
        <v>Economia solidária; microcrédito</v>
      </c>
      <c r="E5" s="58" t="str">
        <f>IF('Exercício - Matriz de avaliação'!E7="","",'Exercício - Matriz de avaliação'!E7)</f>
        <v>Associação Banco da Cidade (em parceria com a Realiz)</v>
      </c>
      <c r="F5" s="58" t="str">
        <f>IF('Exercício - Matriz de avaliação'!F7="","",'Exercício - Matriz de avaliação'!F7)</f>
        <v>Não localizado</v>
      </c>
      <c r="G5" s="57" t="str">
        <f>IF('Exercício - Matriz de avaliação'!G7="","",'Exercício - Matriz de avaliação'!G7)</f>
        <v>Não Localizado</v>
      </c>
      <c r="H5" s="57" t="str">
        <f>IF('Exercício - Matriz de avaliação'!M7="","",'Exercício - Matriz de avaliação'!M7)</f>
        <v>Araçoiaba</v>
      </c>
      <c r="I5" s="57" t="str">
        <f>IF('Exercício - Matriz de avaliação'!N7="","",'Exercício - Matriz de avaliação'!N7)</f>
        <v>PE</v>
      </c>
      <c r="J5" s="57" t="str">
        <f>IF('Exercício - Matriz de avaliação'!O7="","",'Exercício - Matriz de avaliação'!O7)</f>
        <v>Mata Atlântica</v>
      </c>
      <c r="K5" s="57" t="str">
        <f>IF('Exercício - Matriz de avaliação'!P7="","",'Exercício - Matriz de avaliação'!P7)</f>
        <v>1. Finanças Sustentáveis e Inclusivas</v>
      </c>
      <c r="L5" s="57" t="str">
        <f>IF('Exercício - Matriz de avaliação'!R7="","",'Exercício - Matriz de avaliação'!R7)</f>
        <v>Terciário</v>
      </c>
      <c r="M5" s="57" t="str">
        <f>IF('Exercício - Matriz de avaliação'!S7="","",'Exercício - Matriz de avaliação'!S7)</f>
        <v>Não Localizado</v>
      </c>
      <c r="N5" s="57" t="str">
        <f>IF('Exercício - Matriz de avaliação'!L7="","",'Exercício - Matriz de avaliação'!L7)</f>
        <v>Lucas</v>
      </c>
      <c r="O5" s="59">
        <f>IF('Exercício - Matriz de avaliação'!J7="","",'Exercício - Matriz de avaliação'!J7)</f>
        <v>-7.7869</v>
      </c>
      <c r="P5" s="59">
        <f>IF('Exercício - Matriz de avaliação'!K7="","",'Exercício - Matriz de avaliação'!K7)</f>
        <v>-35.0922</v>
      </c>
      <c r="Q5" s="57">
        <f>IF('Exercício - Matriz de avaliação'!AE7="","",'Exercício - Matriz de avaliação'!AE7)</f>
        <v>0</v>
      </c>
    </row>
    <row r="6">
      <c r="A6" s="57">
        <f>IF('Exercício - Matriz de avaliação'!A8="","",'Exercício - Matriz de avaliação'!A8)</f>
        <v>5</v>
      </c>
      <c r="B6" s="57" t="str">
        <f>IF('Exercício - Matriz de avaliação'!B8="","",'Exercício - Matriz de avaliação'!B8)</f>
        <v>Rede de Ativadores de Crédito Socioambiental (Conexsus)</v>
      </c>
      <c r="C6" s="57" t="str">
        <f>IF('Exercício - Matriz de avaliação'!C8="","",'Exercício - Matriz de avaliação'!C8)</f>
        <v>Implantar uma rede de ativadores e ativadoras de crédito socioambiental, formada por técnicos/as locais vinculados a negócios comunitários, para destravar o acesso ao crédito rural (especialmente Pronaf) por agricultores familiares, povos e comunidades tradicionais e organizações da sociobiodiversidade, combinando assistência técnica, educação financeira e financiamento crescente para aumento de renda e qualificação produtiva.</v>
      </c>
      <c r="D6" s="57" t="str">
        <f>IF('Exercício - Matriz de avaliação'!D8="","",'Exercício - Matriz de avaliação'!D8)</f>
        <v>Microcrédito; Finanças solidárias</v>
      </c>
      <c r="E6" s="58" t="str">
        <f>IF('Exercício - Matriz de avaliação'!E8="","",'Exercício - Matriz de avaliação'!E8)</f>
        <v>Instituto Conexões Sustentáveis (Conexsus)</v>
      </c>
      <c r="F6" s="58" t="str">
        <f>IF('Exercício - Matriz de avaliação'!F8="","",'Exercício - Matriz de avaliação'!F8)</f>
        <v>10.980.503/0001-24</v>
      </c>
      <c r="G6" s="58" t="str">
        <f>IF('Exercício - Matriz de avaliação'!G8="","",'Exercício - Matriz de avaliação'!G8)</f>
        <v>27/05/2009</v>
      </c>
      <c r="H6" s="57" t="str">
        <f>IF('Exercício - Matriz de avaliação'!M8="","",'Exercício - Matriz de avaliação'!M8)</f>
        <v/>
      </c>
      <c r="I6" s="57" t="str">
        <f>IF('Exercício - Matriz de avaliação'!N8="","",'Exercício - Matriz de avaliação'!N8)</f>
        <v>BA</v>
      </c>
      <c r="J6" s="57" t="str">
        <f>IF('Exercício - Matriz de avaliação'!O8="","",'Exercício - Matriz de avaliação'!O8)</f>
        <v>Mata Atlântica, Caatinga, Cerrado</v>
      </c>
      <c r="K6" s="57" t="str">
        <f>IF('Exercício - Matriz de avaliação'!P8="","",'Exercício - Matriz de avaliação'!P8)</f>
        <v>1. Finanças Sustentáveis e Inclusivas</v>
      </c>
      <c r="L6" s="57" t="str">
        <f>IF('Exercício - Matriz de avaliação'!R8="","",'Exercício - Matriz de avaliação'!R8)</f>
        <v>Terciário</v>
      </c>
      <c r="M6" s="57" t="str">
        <f>IF('Exercício - Matriz de avaliação'!S8="","",'Exercício - Matriz de avaliação'!S8)</f>
        <v>Associação Privada</v>
      </c>
      <c r="N6" s="57" t="str">
        <f>IF('Exercício - Matriz de avaliação'!L8="","",'Exercício - Matriz de avaliação'!L8)</f>
        <v>Lucas</v>
      </c>
      <c r="O6" s="59">
        <f>IF('Exercício - Matriz de avaliação'!J8="","",'Exercício - Matriz de avaliação'!J8)</f>
        <v>-22.9068</v>
      </c>
      <c r="P6" s="59">
        <f>IF('Exercício - Matriz de avaliação'!K8="","",'Exercício - Matriz de avaliação'!K8)</f>
        <v>-43.1729</v>
      </c>
      <c r="Q6" s="57">
        <f>IF('Exercício - Matriz de avaliação'!AE8="","",'Exercício - Matriz de avaliação'!AE8)</f>
        <v>0</v>
      </c>
    </row>
    <row r="7">
      <c r="A7" s="57">
        <f>IF('Exercício - Matriz de avaliação'!A9="","",'Exercício - Matriz de avaliação'!A9)</f>
        <v>6</v>
      </c>
      <c r="B7" s="57" t="str">
        <f>IF('Exercício - Matriz de avaliação'!B9="","",'Exercício - Matriz de avaliação'!B9)</f>
        <v>Rede Xique Xique de Comercialização Solidária</v>
      </c>
      <c r="C7" s="57" t="str">
        <f>IF('Exercício - Matriz de avaliação'!C9="","",'Exercício - Matriz de avaliação'!C9)</f>
        <v>Organizar grupos de agricultores/as familiares e empreendimentos de economia solidária para produzir, comercializar e certificar alimentos agroecológicos com base em certificação orgânica participativa, articulando agroecologia, feminismo e juventude.</v>
      </c>
      <c r="D7" s="57" t="str">
        <f>IF('Exercício - Matriz de avaliação'!D9="","",'Exercício - Matriz de avaliação'!D9)</f>
        <v>Certificação; Serviços ecossistêmicos</v>
      </c>
      <c r="E7" s="58" t="str">
        <f>IF('Exercício - Matriz de avaliação'!E9="","",'Exercício - Matriz de avaliação'!E9)</f>
        <v>Associação de Comercialização Solidária Xique-Xique</v>
      </c>
      <c r="F7" s="58" t="str">
        <f>IF('Exercício - Matriz de avaliação'!F9="","",'Exercício - Matriz de avaliação'!F9)</f>
        <v>07.194.162/0001-57</v>
      </c>
      <c r="G7" s="58" t="str">
        <f>IF('Exercício - Matriz de avaliação'!G9="","",'Exercício - Matriz de avaliação'!G9)</f>
        <v>31/01/2005</v>
      </c>
      <c r="H7" s="57" t="str">
        <f>IF('Exercício - Matriz de avaliação'!M9="","",'Exercício - Matriz de avaliação'!M9)</f>
        <v>Mossoró</v>
      </c>
      <c r="I7" s="57" t="str">
        <f>IF('Exercício - Matriz de avaliação'!N9="","",'Exercício - Matriz de avaliação'!N9)</f>
        <v>RN</v>
      </c>
      <c r="J7" s="57" t="str">
        <f>IF('Exercício - Matriz de avaliação'!O9="","",'Exercício - Matriz de avaliação'!O9)</f>
        <v>Caatinga</v>
      </c>
      <c r="K7" s="57" t="str">
        <f>IF('Exercício - Matriz de avaliação'!P9="","",'Exercício - Matriz de avaliação'!P9)</f>
        <v>1. Finanças Sustentáveis e Inclusivas</v>
      </c>
      <c r="L7" s="57" t="str">
        <f>IF('Exercício - Matriz de avaliação'!R9="","",'Exercício - Matriz de avaliação'!R9)</f>
        <v>Terciário</v>
      </c>
      <c r="M7" s="57" t="str">
        <f>IF('Exercício - Matriz de avaliação'!S9="","",'Exercício - Matriz de avaliação'!S9)</f>
        <v>Associação Privada</v>
      </c>
      <c r="N7" s="57" t="str">
        <f>IF('Exercício - Matriz de avaliação'!L9="","",'Exercício - Matriz de avaliação'!L9)</f>
        <v>Lucas</v>
      </c>
      <c r="O7" s="59">
        <f>IF('Exercício - Matriz de avaliação'!J9="","",'Exercício - Matriz de avaliação'!J9)</f>
        <v>-5.1875</v>
      </c>
      <c r="P7" s="59">
        <f>IF('Exercício - Matriz de avaliação'!K9="","",'Exercício - Matriz de avaliação'!K9)</f>
        <v>-37.3441</v>
      </c>
      <c r="Q7" s="57">
        <f>IF('Exercício - Matriz de avaliação'!AE9="","",'Exercício - Matriz de avaliação'!AE9)</f>
        <v>0</v>
      </c>
    </row>
    <row r="8">
      <c r="A8" s="57">
        <f>IF('Exercício - Matriz de avaliação'!A10="","",'Exercício - Matriz de avaliação'!A10)</f>
        <v>7</v>
      </c>
      <c r="B8" s="57" t="str">
        <f>IF('Exercício - Matriz de avaliação'!B10="","",'Exercício - Matriz de avaliação'!B10)</f>
        <v>ID Hub Brazil (ID Incubator)</v>
      </c>
      <c r="C8" s="57" t="str">
        <f>IF('Exercício - Matriz de avaliação'!C10="","",'Exercício - Matriz de avaliação'!C10)</f>
        <v>Iniciativa entre o governo brasileiro e o governo britânico para formação de um Centro de Descarbonização da Indústria do Brasil, é uma experiência piloto com abrangência nacional e com foco na NIB. Funciona como um escritório de apoio e suporte aos projetos industriais que buscam se adaptar ao processo de transformação ecológica da economia brasileira</v>
      </c>
      <c r="D8" s="57" t="str">
        <f>IF('Exercício - Matriz de avaliação'!D10="","",'Exercício - Matriz de avaliação'!D10)</f>
        <v>Facillity; Hub</v>
      </c>
      <c r="E8" s="58" t="str">
        <f>IF('Exercício - Matriz de avaliação'!E10="","",'Exercício - Matriz de avaliação'!E10)</f>
        <v>MDIC – Ministério do Desenvolvimento, Indústria, Comércio e Serviços (parceria UNIDO/DESNZ-Reino Unido)</v>
      </c>
      <c r="F8" s="58" t="str">
        <f>IF('Exercício - Matriz de avaliação'!F10="","",'Exercício - Matriz de avaliação'!F10)</f>
        <v>00.394.478/0001-43</v>
      </c>
      <c r="G8" s="58" t="str">
        <f>IF('Exercício - Matriz de avaliação'!G10="","",'Exercício - Matriz de avaliação'!G10)</f>
        <v>29/11/1974</v>
      </c>
      <c r="H8" s="57" t="str">
        <f>IF('Exercício - Matriz de avaliação'!M10="","",'Exercício - Matriz de avaliação'!M10)</f>
        <v>Brasília</v>
      </c>
      <c r="I8" s="57" t="str">
        <f>IF('Exercício - Matriz de avaliação'!N10="","",'Exercício - Matriz de avaliação'!N10)</f>
        <v>BA, PE, CE, RN, AL, PI, PB, SE, MA</v>
      </c>
      <c r="J8" s="57" t="str">
        <f>IF('Exercício - Matriz de avaliação'!O10="","",'Exercício - Matriz de avaliação'!O10)</f>
        <v>Cerrado, Caatinga, Mata Atlântica, Amazônia</v>
      </c>
      <c r="K8" s="57" t="str">
        <f>IF('Exercício - Matriz de avaliação'!P10="","",'Exercício - Matriz de avaliação'!P10)</f>
        <v>1. Finanças Sustentáveis e Inclusivas</v>
      </c>
      <c r="L8" s="57" t="str">
        <f>IF('Exercício - Matriz de avaliação'!R10="","",'Exercício - Matriz de avaliação'!R10)</f>
        <v>Terciário</v>
      </c>
      <c r="M8" s="57" t="str">
        <f>IF('Exercício - Matriz de avaliação'!S10="","",'Exercício - Matriz de avaliação'!S10)</f>
        <v>Órgão Público do Poder Executivo Federal</v>
      </c>
      <c r="N8" s="57" t="str">
        <f>IF('Exercício - Matriz de avaliação'!L10="","",'Exercício - Matriz de avaliação'!L10)</f>
        <v>Lucas</v>
      </c>
      <c r="O8" s="59">
        <f>IF('Exercício - Matriz de avaliação'!J10="","",'Exercício - Matriz de avaliação'!J10)</f>
        <v>-15.7942</v>
      </c>
      <c r="P8" s="59">
        <f>IF('Exercício - Matriz de avaliação'!K10="","",'Exercício - Matriz de avaliação'!K10)</f>
        <v>-47.8822</v>
      </c>
      <c r="Q8" s="57">
        <f>IF('Exercício - Matriz de avaliação'!AE10="","",'Exercício - Matriz de avaliação'!AE10)</f>
        <v>0</v>
      </c>
    </row>
    <row r="9">
      <c r="A9" s="57">
        <f>IF('Exercício - Matriz de avaliação'!A11="","",'Exercício - Matriz de avaliação'!A11)</f>
        <v>8</v>
      </c>
      <c r="B9" s="57" t="str">
        <f>IF('Exercício - Matriz de avaliação'!B11="","",'Exercício - Matriz de avaliação'!B11)</f>
        <v>Projeto Pacto Global de Jovens pelo Clima - ONU</v>
      </c>
      <c r="C9" s="57" t="str">
        <f>IF('Exercício - Matriz de avaliação'!C11="","",'Exercício - Matriz de avaliação'!C11)</f>
        <v>Preparar jovens estudantes, por meio da educação ambiental ativa e participativa, para ocupar os espaços de poder ativamente na luta por justiça socioambiental no contexto das crises climáticas para que se tornem " sentinelas" em defesa do desenvolvimento sustentável local.</v>
      </c>
      <c r="D9" s="57" t="str">
        <f>IF('Exercício - Matriz de avaliação'!D11="","",'Exercício - Matriz de avaliação'!D11)</f>
        <v>Educação ambiental, soluções inovadoras de impacto social.</v>
      </c>
      <c r="E9" s="58" t="str">
        <f>IF('Exercício - Matriz de avaliação'!E11="","",'Exercício - Matriz de avaliação'!E11)</f>
        <v>Organização das Nações Unidas (ONU) – Pacto Global</v>
      </c>
      <c r="F9" s="58" t="str">
        <f>IF('Exercício - Matriz de avaliação'!F11="","",'Exercício - Matriz de avaliação'!F11)</f>
        <v>37.321.091/0001-77</v>
      </c>
      <c r="G9" s="58" t="str">
        <f>IF('Exercício - Matriz de avaliação'!G11="","",'Exercício - Matriz de avaliação'!G11)</f>
        <v>11/05/2020</v>
      </c>
      <c r="H9" s="57" t="str">
        <f>IF('Exercício - Matriz de avaliação'!M11="","",'Exercício - Matriz de avaliação'!M11)</f>
        <v>Recife</v>
      </c>
      <c r="I9" s="57" t="str">
        <f>IF('Exercício - Matriz de avaliação'!N11="","",'Exercício - Matriz de avaliação'!N11)</f>
        <v>PE</v>
      </c>
      <c r="J9" s="57" t="str">
        <f>IF('Exercício - Matriz de avaliação'!O11="","",'Exercício - Matriz de avaliação'!O11)</f>
        <v>Mata Atlântica</v>
      </c>
      <c r="K9" s="57" t="str">
        <f>IF('Exercício - Matriz de avaliação'!P11="","",'Exercício - Matriz de avaliação'!P11)</f>
        <v>2. Adensamento Tecnológico</v>
      </c>
      <c r="L9" s="57" t="str">
        <f>IF('Exercício - Matriz de avaliação'!R11="","",'Exercício - Matriz de avaliação'!R11)</f>
        <v>Terciário</v>
      </c>
      <c r="M9" s="57" t="str">
        <f>IF('Exercício - Matriz de avaliação'!S11="","",'Exercício - Matriz de avaliação'!S11)</f>
        <v>Associação Privada</v>
      </c>
      <c r="N9" s="57" t="str">
        <f>IF('Exercício - Matriz de avaliação'!L11="","",'Exercício - Matriz de avaliação'!L11)</f>
        <v>Caio</v>
      </c>
      <c r="O9" s="59">
        <f>IF('Exercício - Matriz de avaliação'!J11="","",'Exercício - Matriz de avaliação'!J11)</f>
        <v>-8.0476</v>
      </c>
      <c r="P9" s="59">
        <f>IF('Exercício - Matriz de avaliação'!K11="","",'Exercício - Matriz de avaliação'!K11)</f>
        <v>-34.877</v>
      </c>
      <c r="Q9" s="57">
        <f>IF('Exercício - Matriz de avaliação'!AE11="","",'Exercício - Matriz de avaliação'!AE11)</f>
        <v>0</v>
      </c>
    </row>
    <row r="10">
      <c r="A10" s="57">
        <f>IF('Exercício - Matriz de avaliação'!A12="","",'Exercício - Matriz de avaliação'!A12)</f>
        <v>9</v>
      </c>
      <c r="B10" s="57" t="str">
        <f>IF('Exercício - Matriz de avaliação'!B12="","",'Exercício - Matriz de avaliação'!B12)</f>
        <v>OXETECH</v>
      </c>
      <c r="C10" s="57" t="str">
        <f>IF('Exercício - Matriz de avaliação'!C12="","",'Exercício - Matriz de avaliação'!C12)</f>
        <v>Promover capacitação técnica e profissiional de qualidade na área de tecnologia e fomentar o empreendedorismo local e a atração de investimentos.</v>
      </c>
      <c r="D10" s="57" t="str">
        <f>IF('Exercício - Matriz de avaliação'!D12="","",'Exercício - Matriz de avaliação'!D12)</f>
        <v>Capacitação técnica e profissional em tecnologia, empreendedorismo</v>
      </c>
      <c r="E10" s="58" t="str">
        <f>IF('Exercício - Matriz de avaliação'!E12="","",'Exercício - Matriz de avaliação'!E12)</f>
        <v>Governo do Estado de Alagoas – Secretaria de Estado da Ciência, Tecnologia e Inovação (Secti/AL)</v>
      </c>
      <c r="F10" s="58" t="str">
        <f>IF('Exercício - Matriz de avaliação'!F12="","",'Exercício - Matriz de avaliação'!F12)</f>
        <v>04.007.216/0001-30</v>
      </c>
      <c r="G10" s="58" t="str">
        <f>IF('Exercício - Matriz de avaliação'!G12="","",'Exercício - Matriz de avaliação'!G12)</f>
        <v>04/08/2000</v>
      </c>
      <c r="H10" s="57" t="str">
        <f>IF('Exercício - Matriz de avaliação'!M12="","",'Exercício - Matriz de avaliação'!M12)</f>
        <v>Maceió</v>
      </c>
      <c r="I10" s="57" t="str">
        <f>IF('Exercício - Matriz de avaliação'!N12="","",'Exercício - Matriz de avaliação'!N12)</f>
        <v>AL</v>
      </c>
      <c r="J10" s="57" t="str">
        <f>IF('Exercício - Matriz de avaliação'!O12="","",'Exercício - Matriz de avaliação'!O12)</f>
        <v>Caatinga</v>
      </c>
      <c r="K10" s="57" t="str">
        <f>IF('Exercício - Matriz de avaliação'!P12="","",'Exercício - Matriz de avaliação'!P12)</f>
        <v>2. Adensamento Tecnológico</v>
      </c>
      <c r="L10" s="57" t="str">
        <f>IF('Exercício - Matriz de avaliação'!R12="","",'Exercício - Matriz de avaliação'!R12)</f>
        <v>Terciário</v>
      </c>
      <c r="M10" s="57" t="str">
        <f>IF('Exercício - Matriz de avaliação'!S12="","",'Exercício - Matriz de avaliação'!S12)</f>
        <v>Órgão Público do Poder Executivo Estadual</v>
      </c>
      <c r="N10" s="57" t="str">
        <f>IF('Exercício - Matriz de avaliação'!L12="","",'Exercício - Matriz de avaliação'!L12)</f>
        <v>Caio</v>
      </c>
      <c r="O10" s="59">
        <f>IF('Exercício - Matriz de avaliação'!J12="","",'Exercício - Matriz de avaliação'!J12)</f>
        <v>-9.6498</v>
      </c>
      <c r="P10" s="59">
        <f>IF('Exercício - Matriz de avaliação'!K12="","",'Exercício - Matriz de avaliação'!K12)</f>
        <v>-35.7089</v>
      </c>
      <c r="Q10" s="57">
        <f>IF('Exercício - Matriz de avaliação'!AE12="","",'Exercício - Matriz de avaliação'!AE12)</f>
        <v>0</v>
      </c>
    </row>
    <row r="11">
      <c r="A11" s="57">
        <f>IF('Exercício - Matriz de avaliação'!A13="","",'Exercício - Matriz de avaliação'!A13)</f>
        <v>10</v>
      </c>
      <c r="B11" s="57" t="str">
        <f>IF('Exercício - Matriz de avaliação'!B13="","",'Exercício - Matriz de avaliação'!B13)</f>
        <v>Rede MCTI/EMBRAPII de Inovação em Inteligência Artificial</v>
      </c>
      <c r="C11" s="57" t="str">
        <f>IF('Exercício - Matriz de avaliação'!C13="","",'Exercício - Matriz de avaliação'!C13)</f>
        <v>Fomentar a capacidade produtiva e a competitividade das empresas brasileiras por meio do uso de tecnologias de fronteiras no processo produtivo da indústria nacional</v>
      </c>
      <c r="D11" s="57" t="str">
        <f>IF('Exercício - Matriz de avaliação'!D13="","",'Exercício - Matriz de avaliação'!D13)</f>
        <v>Investimento em PD&amp;I, aumento capacidade produtiva e competitividade de empresas brasileiras</v>
      </c>
      <c r="E11" s="58" t="str">
        <f>IF('Exercício - Matriz de avaliação'!E13="","",'Exercício - Matriz de avaliação'!E13)</f>
        <v>MCTI – Ministério da Ciência, Tecnologia e Inovação / EMBRAPII</v>
      </c>
      <c r="F11" s="58" t="str">
        <f>IF('Exercício - Matriz de avaliação'!F13="","",'Exercício - Matriz de avaliação'!F13)</f>
        <v>03.132.745/0001-00</v>
      </c>
      <c r="G11" s="58" t="str">
        <f>IF('Exercício - Matriz de avaliação'!G13="","",'Exercício - Matriz de avaliação'!G13)</f>
        <v>30/04/1999</v>
      </c>
      <c r="H11" s="57" t="str">
        <f>IF('Exercício - Matriz de avaliação'!M13="","",'Exercício - Matriz de avaliação'!M13)</f>
        <v>Fortaleza</v>
      </c>
      <c r="I11" s="57" t="str">
        <f>IF('Exercício - Matriz de avaliação'!N13="","",'Exercício - Matriz de avaliação'!N13)</f>
        <v>BA, PE, CE, RN, AL, PI, PB, SE, MA</v>
      </c>
      <c r="J11" s="57" t="str">
        <f>IF('Exercício - Matriz de avaliação'!O13="","",'Exercício - Matriz de avaliação'!O13)</f>
        <v>Mata Atlântica, Cerrado, Amazônia, Caatinga</v>
      </c>
      <c r="K11" s="57" t="str">
        <f>IF('Exercício - Matriz de avaliação'!P13="","",'Exercício - Matriz de avaliação'!P13)</f>
        <v>2. Adensamento Tecnológico</v>
      </c>
      <c r="L11" s="57" t="str">
        <f>IF('Exercício - Matriz de avaliação'!R13="","",'Exercício - Matriz de avaliação'!R13)</f>
        <v>Terciário</v>
      </c>
      <c r="M11" s="57" t="str">
        <f>IF('Exercício - Matriz de avaliação'!S13="","",'Exercício - Matriz de avaliação'!S13)</f>
        <v>Órgão Público do Poder Executivo Federal</v>
      </c>
      <c r="N11" s="57" t="str">
        <f>IF('Exercício - Matriz de avaliação'!L13="","",'Exercício - Matriz de avaliação'!L13)</f>
        <v>Caio</v>
      </c>
      <c r="O11" s="59">
        <f>IF('Exercício - Matriz de avaliação'!J13="","",'Exercício - Matriz de avaliação'!J13)</f>
        <v>-3.7319</v>
      </c>
      <c r="P11" s="59">
        <f>IF('Exercício - Matriz de avaliação'!K13="","",'Exercício - Matriz de avaliação'!K13)</f>
        <v>-38.5267</v>
      </c>
      <c r="Q11" s="57">
        <f>IF('Exercício - Matriz de avaliação'!AE13="","",'Exercício - Matriz de avaliação'!AE13)</f>
        <v>0</v>
      </c>
    </row>
    <row r="12">
      <c r="A12" s="57">
        <f>IF('Exercício - Matriz de avaliação'!A14="","",'Exercício - Matriz de avaliação'!A14)</f>
        <v>11</v>
      </c>
      <c r="B12" s="57" t="str">
        <f>IF('Exercício - Matriz de avaliação'!B14="","",'Exercício - Matriz de avaliação'!B14)</f>
        <v>Programa Jovem Empreendedor Primeiros Passos JEPP - SEBRAE</v>
      </c>
      <c r="C12" s="57" t="str">
        <f>IF('Exercício - Matriz de avaliação'!C14="","",'Exercício - Matriz de avaliação'!C14)</f>
        <v>Estimular a criatividade e o pensamento crítico, fomentando a “mentalidade empreendedora" de alunos do ensino fundamental de forma lúdica com histórias com temáticas diversas, dente elas a sustentabilidade.</v>
      </c>
      <c r="D12" s="57" t="str">
        <f>IF('Exercício - Matriz de avaliação'!D14="","",'Exercício - Matriz de avaliação'!D14)</f>
        <v>Educação empreendedora no ensino básico</v>
      </c>
      <c r="E12" s="58" t="str">
        <f>IF('Exercício - Matriz de avaliação'!E14="","",'Exercício - Matriz de avaliação'!E14)</f>
        <v>SEBRAE – Serviço Brasileiro de Apoio às Micro e Pequenas Empresas</v>
      </c>
      <c r="F12" s="58" t="str">
        <f>IF('Exercício - Matriz de avaliação'!F14="","",'Exercício - Matriz de avaliação'!F14)</f>
        <v>00.330.845/0001-45</v>
      </c>
      <c r="G12" s="58" t="str">
        <f>IF('Exercício - Matriz de avaliação'!G14="","",'Exercício - Matriz de avaliação'!G14)</f>
        <v>24/08/1972</v>
      </c>
      <c r="H12" s="57" t="str">
        <f>IF('Exercício - Matriz de avaliação'!M14="","",'Exercício - Matriz de avaliação'!M14)</f>
        <v>Corrente</v>
      </c>
      <c r="I12" s="57" t="str">
        <f>IF('Exercício - Matriz de avaliação'!N14="","",'Exercício - Matriz de avaliação'!N14)</f>
        <v>PI, CE, MA</v>
      </c>
      <c r="J12" s="57" t="str">
        <f>IF('Exercício - Matriz de avaliação'!O14="","",'Exercício - Matriz de avaliação'!O14)</f>
        <v>Cerrado, Caatinga, Mata Atlântica, Amazônia</v>
      </c>
      <c r="K12" s="57" t="str">
        <f>IF('Exercício - Matriz de avaliação'!P14="","",'Exercício - Matriz de avaliação'!P14)</f>
        <v>2. Adensamento Tecnológico</v>
      </c>
      <c r="L12" s="57" t="str">
        <f>IF('Exercício - Matriz de avaliação'!R14="","",'Exercício - Matriz de avaliação'!R14)</f>
        <v>Terciário</v>
      </c>
      <c r="M12" s="57" t="str">
        <f>IF('Exercício - Matriz de avaliação'!S14="","",'Exercício - Matriz de avaliação'!S14)</f>
        <v>Serviço Social Autônomo</v>
      </c>
      <c r="N12" s="57" t="str">
        <f>IF('Exercício - Matriz de avaliação'!L14="","",'Exercício - Matriz de avaliação'!L14)</f>
        <v>Caio</v>
      </c>
      <c r="O12" s="59">
        <f>IF('Exercício - Matriz de avaliação'!J14="","",'Exercício - Matriz de avaliação'!J14)</f>
        <v>-10.4434</v>
      </c>
      <c r="P12" s="59">
        <f>IF('Exercício - Matriz de avaliação'!K14="","",'Exercício - Matriz de avaliação'!K14)</f>
        <v>-45.1619</v>
      </c>
      <c r="Q12" s="57">
        <f>IF('Exercício - Matriz de avaliação'!AE14="","",'Exercício - Matriz de avaliação'!AE14)</f>
        <v>0</v>
      </c>
    </row>
    <row r="13">
      <c r="A13" s="57">
        <f>IF('Exercício - Matriz de avaliação'!A15="","",'Exercício - Matriz de avaliação'!A15)</f>
        <v>12</v>
      </c>
      <c r="B13" s="57" t="str">
        <f>IF('Exercício - Matriz de avaliação'!B15="","",'Exercício - Matriz de avaliação'!B15)</f>
        <v>Projeto Etnocaatinga</v>
      </c>
      <c r="C13" s="57" t="str">
        <f>IF('Exercício - Matriz de avaliação'!C15="","",'Exercício - Matriz de avaliação'!C15)</f>
        <v>Atuar na conservação e recuperação da Caatinga em territórios tradicionais, utilizando tecnologias sociais e promovendo a inclusão produtiva das comunidades locais.</v>
      </c>
      <c r="D13" s="57" t="str">
        <f>IF('Exercício - Matriz de avaliação'!D15="","",'Exercício - Matriz de avaliação'!D15)</f>
        <v>Recaatingamento, tecnologias sociais e inclusão produtiva de comunidades tradicionais e povos originários</v>
      </c>
      <c r="E13" s="58" t="str">
        <f>IF('Exercício - Matriz de avaliação'!E15="","",'Exercício - Matriz de avaliação'!E15)</f>
        <v>Projeto Etnocaatinga (organização executora a confirmar)</v>
      </c>
      <c r="F13" s="58" t="str">
        <f>IF('Exercício - Matriz de avaliação'!F15="","",'Exercício - Matriz de avaliação'!F15)</f>
        <v>00.348.003/0001-10</v>
      </c>
      <c r="G13" s="58" t="str">
        <f>IF('Exercício - Matriz de avaliação'!G15="","",'Exercício - Matriz de avaliação'!G15)</f>
        <v>02/05/1973</v>
      </c>
      <c r="H13" s="57" t="str">
        <f>IF('Exercício - Matriz de avaliação'!M15="","",'Exercício - Matriz de avaliação'!M15)</f>
        <v>Petrolina</v>
      </c>
      <c r="I13" s="57" t="str">
        <f>IF('Exercício - Matriz de avaliação'!N15="","",'Exercício - Matriz de avaliação'!N15)</f>
        <v>BA, PE, PI</v>
      </c>
      <c r="J13" s="57" t="str">
        <f>IF('Exercício - Matriz de avaliação'!O15="","",'Exercício - Matriz de avaliação'!O15)</f>
        <v>Caatinga</v>
      </c>
      <c r="K13" s="57" t="str">
        <f>IF('Exercício - Matriz de avaliação'!P15="","",'Exercício - Matriz de avaliação'!P15)</f>
        <v>2. Adensamento Tecnológico</v>
      </c>
      <c r="L13" s="57" t="str">
        <f>IF('Exercício - Matriz de avaliação'!R15="","",'Exercício - Matriz de avaliação'!R15)</f>
        <v>Terciário</v>
      </c>
      <c r="M13" s="57" t="str">
        <f>IF('Exercício - Matriz de avaliação'!S15="","",'Exercício - Matriz de avaliação'!S15)</f>
        <v>Empresa Pública</v>
      </c>
      <c r="N13" s="57" t="str">
        <f>IF('Exercício - Matriz de avaliação'!L15="","",'Exercício - Matriz de avaliação'!L15)</f>
        <v>Caio</v>
      </c>
      <c r="O13" s="59">
        <f>IF('Exercício - Matriz de avaliação'!J15="","",'Exercício - Matriz de avaliação'!J15)</f>
        <v>-9.3891</v>
      </c>
      <c r="P13" s="59">
        <f>IF('Exercício - Matriz de avaliação'!K15="","",'Exercício - Matriz de avaliação'!K15)</f>
        <v>-40.5028</v>
      </c>
      <c r="Q13" s="57">
        <f>IF('Exercício - Matriz de avaliação'!AE15="","",'Exercício - Matriz de avaliação'!AE15)</f>
        <v>0</v>
      </c>
    </row>
    <row r="14">
      <c r="A14" s="57">
        <f>IF('Exercício - Matriz de avaliação'!A16="","",'Exercício - Matriz de avaliação'!A16)</f>
        <v>13</v>
      </c>
      <c r="B14" s="57" t="str">
        <f>IF('Exercício - Matriz de avaliação'!B16="","",'Exercício - Matriz de avaliação'!B16)</f>
        <v>Parque Tecnológico Porto Digital - PE</v>
      </c>
      <c r="C14" s="57" t="str">
        <f>IF('Exercício - Matriz de avaliação'!C16="","",'Exercício - Matriz de avaliação'!C16)</f>
        <v>Atuar como um robusto ecossistema de inovação que integra empresas, governos, universidades, organizações diversas na área de Tecnologia dinamizando a região e alavancando projetos em TI e Economia criativa</v>
      </c>
      <c r="D14" s="57" t="str">
        <f>IF('Exercício - Matriz de avaliação'!D16="","",'Exercício - Matriz de avaliação'!D16)</f>
        <v>Ecossistema de inovação, PD&amp;I, Inovação, Negócios, Empreendedorismo Inovador, Economia criativa</v>
      </c>
      <c r="E14" s="58" t="str">
        <f>IF('Exercício - Matriz de avaliação'!E16="","",'Exercício - Matriz de avaliação'!E16)</f>
        <v>Núcleo de Gestão do Porto Digital (NGPD)</v>
      </c>
      <c r="F14" s="58" t="str">
        <f>IF('Exercício - Matriz de avaliação'!F16="","",'Exercício - Matriz de avaliação'!F16)</f>
        <v>04.203.075/0001-20</v>
      </c>
      <c r="G14" s="58" t="str">
        <f>IF('Exercício - Matriz de avaliação'!G16="","",'Exercício - Matriz de avaliação'!G16)</f>
        <v>19/12/2000</v>
      </c>
      <c r="H14" s="57" t="str">
        <f>IF('Exercício - Matriz de avaliação'!M16="","",'Exercício - Matriz de avaliação'!M16)</f>
        <v>Recife</v>
      </c>
      <c r="I14" s="57" t="str">
        <f>IF('Exercício - Matriz de avaliação'!N16="","",'Exercício - Matriz de avaliação'!N16)</f>
        <v>PE</v>
      </c>
      <c r="J14" s="57" t="str">
        <f>IF('Exercício - Matriz de avaliação'!O16="","",'Exercício - Matriz de avaliação'!O16)</f>
        <v>Mata Atlântica</v>
      </c>
      <c r="K14" s="57" t="str">
        <f>IF('Exercício - Matriz de avaliação'!P16="","",'Exercício - Matriz de avaliação'!P16)</f>
        <v>2. Adensamento Tecnológico</v>
      </c>
      <c r="L14" s="57" t="str">
        <f>IF('Exercício - Matriz de avaliação'!R16="","",'Exercício - Matriz de avaliação'!R16)</f>
        <v>Terciário</v>
      </c>
      <c r="M14" s="57" t="str">
        <f>IF('Exercício - Matriz de avaliação'!S16="","",'Exercício - Matriz de avaliação'!S16)</f>
        <v>Associação Privada</v>
      </c>
      <c r="N14" s="57" t="str">
        <f>IF('Exercício - Matriz de avaliação'!L16="","",'Exercício - Matriz de avaliação'!L16)</f>
        <v>Caio</v>
      </c>
      <c r="O14" s="59">
        <f>IF('Exercício - Matriz de avaliação'!J16="","",'Exercício - Matriz de avaliação'!J16)</f>
        <v>-8.0476</v>
      </c>
      <c r="P14" s="59">
        <f>IF('Exercício - Matriz de avaliação'!K16="","",'Exercício - Matriz de avaliação'!K16)</f>
        <v>-34.877</v>
      </c>
      <c r="Q14" s="57">
        <f>IF('Exercício - Matriz de avaliação'!AE16="","",'Exercício - Matriz de avaliação'!AE16)</f>
        <v>0</v>
      </c>
    </row>
    <row r="15">
      <c r="A15" s="57">
        <f>IF('Exercício - Matriz de avaliação'!A17="","",'Exercício - Matriz de avaliação'!A17)</f>
        <v>14</v>
      </c>
      <c r="B15" s="57" t="str">
        <f>IF('Exercício - Matriz de avaliação'!B17="","",'Exercício - Matriz de avaliação'!B17)</f>
        <v>Vale do Dendê</v>
      </c>
      <c r="C15" s="57" t="str">
        <f>IF('Exercício - Matriz de avaliação'!C17="","",'Exercício - Matriz de avaliação'!C17)</f>
        <v>Fomentar ecossistemas de inovação e criatividade com foco em diversidade atuando em 4 frentes: aceleração de negócios, promoções de eventos, Hubs de apoio para empreendedores e inovação</v>
      </c>
      <c r="D15" s="57" t="str">
        <f>IF('Exercício - Matriz de avaliação'!D17="","",'Exercício - Matriz de avaliação'!D17)</f>
        <v>Ecossistema de inovação, empreendedorismo inovador da perifeira.</v>
      </c>
      <c r="E15" s="58" t="str">
        <f>IF('Exercício - Matriz de avaliação'!E17="","",'Exercício - Matriz de avaliação'!E17)</f>
        <v>Vale do Dendê (holding social)</v>
      </c>
      <c r="F15" s="58" t="str">
        <f>IF('Exercício - Matriz de avaliação'!F17="","",'Exercício - Matriz de avaliação'!F17)</f>
        <v>31.186.223/0001-19 </v>
      </c>
      <c r="G15" s="58" t="str">
        <f>IF('Exercício - Matriz de avaliação'!G17="","",'Exercício - Matriz de avaliação'!G17)</f>
        <v>31/07/2018</v>
      </c>
      <c r="H15" s="57" t="str">
        <f>IF('Exercício - Matriz de avaliação'!M17="","",'Exercício - Matriz de avaliação'!M17)</f>
        <v>Salvador</v>
      </c>
      <c r="I15" s="57" t="str">
        <f>IF('Exercício - Matriz de avaliação'!N17="","",'Exercício - Matriz de avaliação'!N17)</f>
        <v>BA</v>
      </c>
      <c r="J15" s="57" t="str">
        <f>IF('Exercício - Matriz de avaliação'!O17="","",'Exercício - Matriz de avaliação'!O17)</f>
        <v>Mata Atlântica</v>
      </c>
      <c r="K15" s="57" t="str">
        <f>IF('Exercício - Matriz de avaliação'!P17="","",'Exercício - Matriz de avaliação'!P17)</f>
        <v>2. Adensamento Tecnológico</v>
      </c>
      <c r="L15" s="57" t="str">
        <f>IF('Exercício - Matriz de avaliação'!R17="","",'Exercício - Matriz de avaliação'!R17)</f>
        <v>Terciário</v>
      </c>
      <c r="M15" s="57" t="str">
        <f>IF('Exercício - Matriz de avaliação'!S17="","",'Exercício - Matriz de avaliação'!S17)</f>
        <v>Associação Privada</v>
      </c>
      <c r="N15" s="57" t="str">
        <f>IF('Exercício - Matriz de avaliação'!L17="","",'Exercício - Matriz de avaliação'!L17)</f>
        <v>Caio</v>
      </c>
      <c r="O15" s="59">
        <f>IF('Exercício - Matriz de avaliação'!J17="","",'Exercício - Matriz de avaliação'!J17)</f>
        <v>-12.9777</v>
      </c>
      <c r="P15" s="59">
        <f>IF('Exercício - Matriz de avaliação'!K17="","",'Exercício - Matriz de avaliação'!K17)</f>
        <v>-38.5016</v>
      </c>
      <c r="Q15" s="57">
        <f>IF('Exercício - Matriz de avaliação'!AE17="","",'Exercício - Matriz de avaliação'!AE17)</f>
        <v>0</v>
      </c>
    </row>
    <row r="16">
      <c r="A16" s="57">
        <f>IF('Exercício - Matriz de avaliação'!A18="","",'Exercício - Matriz de avaliação'!A18)</f>
        <v>15</v>
      </c>
      <c r="B16" s="57" t="str">
        <f>IF('Exercício - Matriz de avaliação'!B18="","",'Exercício - Matriz de avaliação'!B18)</f>
        <v>Programa Sertão Vivo</v>
      </c>
      <c r="C16" s="57" t="str">
        <f>IF('Exercício - Matriz de avaliação'!C18="","",'Exercício - Matriz de avaliação'!C18)</f>
        <v>Fortalecer a agricultura familiar no Semiárido, ampliando a resiliência climática, a segurança hídrica e a inclusão produtiva por meio de práticas agroecológicas e investimentos em infraestrutura rural.</v>
      </c>
      <c r="D16" s="57" t="str">
        <f>IF('Exercício - Matriz de avaliação'!D18="","",'Exercício - Matriz de avaliação'!D18)</f>
        <v>Agroecologia, convivência com o Semiárido</v>
      </c>
      <c r="E16" s="58" t="str">
        <f>IF('Exercício - Matriz de avaliação'!E18="","",'Exercício - Matriz de avaliação'!E18)</f>
        <v>Governo Federal – Ministério do Desenvolvimento Agrário e Agricultura Familiar (MDA), com apoio do FIDA</v>
      </c>
      <c r="F16" s="58" t="str">
        <f>IF('Exercício - Matriz de avaliação'!F18="","",'Exercício - Matriz de avaliação'!F18)</f>
        <v>01.612.452/0001-97</v>
      </c>
      <c r="G16" s="58" t="str">
        <f>IF('Exercício - Matriz de avaliação'!G18="","",'Exercício - Matriz de avaliação'!G18)</f>
        <v>08/01/1997</v>
      </c>
      <c r="H16" s="57" t="str">
        <f>IF('Exercício - Matriz de avaliação'!M18="","",'Exercício - Matriz de avaliação'!M18)</f>
        <v/>
      </c>
      <c r="I16" s="57" t="str">
        <f>IF('Exercício - Matriz de avaliação'!N18="","",'Exercício - Matriz de avaliação'!N18)</f>
        <v>SE, AL, PE</v>
      </c>
      <c r="J16" s="57" t="str">
        <f>IF('Exercício - Matriz de avaliação'!O18="","",'Exercício - Matriz de avaliação'!O18)</f>
        <v>Caatinga</v>
      </c>
      <c r="K16" s="57" t="str">
        <f>IF('Exercício - Matriz de avaliação'!P18="","",'Exercício - Matriz de avaliação'!P18)</f>
        <v>3. Bioeconomia e Sistemas Agroalimentares Adaptados</v>
      </c>
      <c r="L16" s="57" t="str">
        <f>IF('Exercício - Matriz de avaliação'!R18="","",'Exercício - Matriz de avaliação'!R18)</f>
        <v>Terciário</v>
      </c>
      <c r="M16" s="57" t="str">
        <f>IF('Exercício - Matriz de avaliação'!S18="","",'Exercício - Matriz de avaliação'!S18)</f>
        <v>Órgão Público do Poder Executivo Federal</v>
      </c>
      <c r="N16" s="57" t="str">
        <f>IF('Exercício - Matriz de avaliação'!L18="","",'Exercício - Matriz de avaliação'!L18)</f>
        <v>Caio</v>
      </c>
      <c r="O16" s="59">
        <f>IF('Exercício - Matriz de avaliação'!J18="","",'Exercício - Matriz de avaliação'!J18)</f>
        <v>-22.9068</v>
      </c>
      <c r="P16" s="59">
        <f>IF('Exercício - Matriz de avaliação'!K18="","",'Exercício - Matriz de avaliação'!K18)</f>
        <v>-43.1729</v>
      </c>
      <c r="Q16" s="57">
        <f>IF('Exercício - Matriz de avaliação'!AE18="","",'Exercício - Matriz de avaliação'!AE18)</f>
        <v>0</v>
      </c>
    </row>
    <row r="17">
      <c r="A17" s="57">
        <f>IF('Exercício - Matriz de avaliação'!A19="","",'Exercício - Matriz de avaliação'!A19)</f>
        <v>16</v>
      </c>
      <c r="B17" s="57" t="str">
        <f>IF('Exercício - Matriz de avaliação'!B19="","",'Exercício - Matriz de avaliação'!B19)</f>
        <v>Rota de Saberes e Sabores do Semiárido</v>
      </c>
      <c r="C17" s="57" t="str">
        <f>IF('Exercício - Matriz de avaliação'!C19="","",'Exercício - Matriz de avaliação'!C19)</f>
        <v>Valorizar saberes tradicionais, produtos da sociobiodiversidade e gastronomia regional, criando rotas de turismo de base comunitária que geram renda e fortalecem identidades locais.</v>
      </c>
      <c r="D17" s="57" t="str">
        <f>IF('Exercício - Matriz de avaliação'!D19="","",'Exercício - Matriz de avaliação'!D19)</f>
        <v>Turismo comunitário sustentável, cadeias agroalimentares regionais e valorização cultural.</v>
      </c>
      <c r="E17" s="58" t="str">
        <f>IF('Exercício - Matriz de avaliação'!E19="","",'Exercício - Matriz de avaliação'!E19)</f>
        <v> Embrapa Alimentos e Territórios</v>
      </c>
      <c r="F17" s="58" t="str">
        <f>IF('Exercício - Matriz de avaliação'!F19="","",'Exercício - Matriz de avaliação'!F19)</f>
        <v>00.348.003/0025-98</v>
      </c>
      <c r="G17" s="58" t="str">
        <f>IF('Exercício - Matriz de avaliação'!G19="","",'Exercício - Matriz de avaliação'!G19)</f>
        <v>02/10/2018</v>
      </c>
      <c r="H17" s="57" t="str">
        <f>IF('Exercício - Matriz de avaliação'!M19="","",'Exercício - Matriz de avaliação'!M19)</f>
        <v/>
      </c>
      <c r="I17" s="57" t="str">
        <f>IF('Exercício - Matriz de avaliação'!N19="","",'Exercício - Matriz de avaliação'!N19)</f>
        <v>AL</v>
      </c>
      <c r="J17" s="57" t="str">
        <f>IF('Exercício - Matriz de avaliação'!O19="","",'Exercício - Matriz de avaliação'!O19)</f>
        <v>Caatinga</v>
      </c>
      <c r="K17" s="57" t="str">
        <f>IF('Exercício - Matriz de avaliação'!P19="","",'Exercício - Matriz de avaliação'!P19)</f>
        <v>3. Bioeconomia e Sistemas Agroalimentares Adaptados</v>
      </c>
      <c r="L17" s="57" t="str">
        <f>IF('Exercício - Matriz de avaliação'!R19="","",'Exercício - Matriz de avaliação'!R19)</f>
        <v>Terciário</v>
      </c>
      <c r="M17" s="57" t="str">
        <f>IF('Exercício - Matriz de avaliação'!S19="","",'Exercício - Matriz de avaliação'!S19)</f>
        <v>Empresa Pública</v>
      </c>
      <c r="N17" s="57" t="str">
        <f>IF('Exercício - Matriz de avaliação'!L19="","",'Exercício - Matriz de avaliação'!L19)</f>
        <v>Caio</v>
      </c>
      <c r="O17" s="59">
        <f>IF('Exercício - Matriz de avaliação'!J19="","",'Exercício - Matriz de avaliação'!J19)</f>
        <v>-9.6619375</v>
      </c>
      <c r="P17" s="59">
        <f>IF('Exercício - Matriz de avaliação'!K19="","",'Exercício - Matriz de avaliação'!K19)</f>
        <v>-35.7406837</v>
      </c>
      <c r="Q17" s="57">
        <f>IF('Exercício - Matriz de avaliação'!AE19="","",'Exercício - Matriz de avaliação'!AE19)</f>
        <v>0</v>
      </c>
    </row>
    <row r="18">
      <c r="A18" s="57">
        <f>IF('Exercício - Matriz de avaliação'!A20="","",'Exercício - Matriz de avaliação'!A20)</f>
        <v>17</v>
      </c>
      <c r="B18" s="57" t="str">
        <f>IF('Exercício - Matriz de avaliação'!B20="","",'Exercício - Matriz de avaliação'!B20)</f>
        <v>Rede BATUC - Turismo Comunitário da Bahia</v>
      </c>
      <c r="C18" s="57" t="str">
        <f>IF('Exercício - Matriz de avaliação'!C20="","",'Exercício - Matriz de avaliação'!C20)</f>
        <v>Promover o turismo comunitário em comunidades tradicionais da Bahia, fortalecendo economias locais, autonomia social, práticas culturais e conservação ambiental.</v>
      </c>
      <c r="D18" s="57" t="str">
        <f>IF('Exercício - Matriz de avaliação'!D20="","",'Exercício - Matriz de avaliação'!D20)</f>
        <v>Turismo comunitário, economia solidária e valorização da sociobiodiversidade.</v>
      </c>
      <c r="E18" s="58" t="str">
        <f>IF('Exercício - Matriz de avaliação'!E20="","",'Exercício - Matriz de avaliação'!E20)</f>
        <v>Rede BATUC – Turismo Comunitário da Bahia</v>
      </c>
      <c r="F18" s="58" t="str">
        <f>IF('Exercício - Matriz de avaliação'!F20="","",'Exercício - Matriz de avaliação'!F20)</f>
        <v>08.579.242/0001-93</v>
      </c>
      <c r="G18" s="58" t="str">
        <f>IF('Exercício - Matriz de avaliação'!G20="","",'Exercício - Matriz de avaliação'!G20)</f>
        <v>01/01/2007</v>
      </c>
      <c r="H18" s="57" t="str">
        <f>IF('Exercício - Matriz de avaliação'!M20="","",'Exercício - Matriz de avaliação'!M20)</f>
        <v>Salvador</v>
      </c>
      <c r="I18" s="57" t="str">
        <f>IF('Exercício - Matriz de avaliação'!N20="","",'Exercício - Matriz de avaliação'!N20)</f>
        <v>BA</v>
      </c>
      <c r="J18" s="57" t="str">
        <f>IF('Exercício - Matriz de avaliação'!O20="","",'Exercício - Matriz de avaliação'!O20)</f>
        <v>Mata Atlântica, Caatinga, Cerrado</v>
      </c>
      <c r="K18" s="57" t="str">
        <f>IF('Exercício - Matriz de avaliação'!P20="","",'Exercício - Matriz de avaliação'!P20)</f>
        <v>3. Bioeconomia e Sistemas Agroalimentares Adaptados</v>
      </c>
      <c r="L18" s="57" t="str">
        <f>IF('Exercício - Matriz de avaliação'!R20="","",'Exercício - Matriz de avaliação'!R20)</f>
        <v>Terciário</v>
      </c>
      <c r="M18" s="57" t="str">
        <f>IF('Exercício - Matriz de avaliação'!S20="","",'Exercício - Matriz de avaliação'!S20)</f>
        <v>Órgão Público do Poder Executivo Estadual</v>
      </c>
      <c r="N18" s="57" t="str">
        <f>IF('Exercício - Matriz de avaliação'!L20="","",'Exercício - Matriz de avaliação'!L20)</f>
        <v>Caio</v>
      </c>
      <c r="O18" s="59">
        <f>IF('Exercício - Matriz de avaliação'!J20="","",'Exercício - Matriz de avaliação'!J20)</f>
        <v>-12.9777</v>
      </c>
      <c r="P18" s="59">
        <f>IF('Exercício - Matriz de avaliação'!K20="","",'Exercício - Matriz de avaliação'!K20)</f>
        <v>-38.5016</v>
      </c>
      <c r="Q18" s="57">
        <f>IF('Exercício - Matriz de avaliação'!AE20="","",'Exercício - Matriz de avaliação'!AE20)</f>
        <v>0</v>
      </c>
    </row>
    <row r="19">
      <c r="A19" s="57">
        <f>IF('Exercício - Matriz de avaliação'!A21="","",'Exercício - Matriz de avaliação'!A21)</f>
        <v>18</v>
      </c>
      <c r="B19" s="57" t="str">
        <f>IF('Exercício - Matriz de avaliação'!B21="","",'Exercício - Matriz de avaliação'!B21)</f>
        <v>Associação das Comunidades Negras Rurais Quilombolas do Maranhão (ACONERUQ)</v>
      </c>
      <c r="C19" s="57" t="str">
        <f>IF('Exercício - Matriz de avaliação'!C21="","",'Exercício - Matriz de avaliação'!C21)</f>
        <v>Fortalecer a autonomia produtiva e territorial de mulheres quilombolas no Nordeste, promovendo práticas agroecológicas, uso sustentável da sociobiodiversidade e integração a cadeias solidárias e comunitárias da bioeconomia.</v>
      </c>
      <c r="D19" s="57" t="str">
        <f>IF('Exercício - Matriz de avaliação'!D21="","",'Exercício - Matriz de avaliação'!D21)</f>
        <v>Bioeconomia comunitária, Gênero e justiça socioambiental. Patrimônio Genético, Repartição de Benefícios e Legislação</v>
      </c>
      <c r="E19" s="58" t="str">
        <f>IF('Exercício - Matriz de avaliação'!E21="","",'Exercício - Matriz de avaliação'!E21)</f>
        <v>Associação das Comunidades Negras Rurais Quilombolas do Maranhão (ACONERUQ)</v>
      </c>
      <c r="F19" s="58" t="str">
        <f>IF('Exercício - Matriz de avaliação'!F21="","",'Exercício - Matriz de avaliação'!F21)</f>
        <v>02.786.414/0001-13</v>
      </c>
      <c r="G19" s="58" t="str">
        <f>IF('Exercício - Matriz de avaliação'!G21="","",'Exercício - Matriz de avaliação'!G21)</f>
        <v>14/10/1998</v>
      </c>
      <c r="H19" s="57" t="str">
        <f>IF('Exercício - Matriz de avaliação'!M21="","",'Exercício - Matriz de avaliação'!M21)</f>
        <v>São Luís</v>
      </c>
      <c r="I19" s="57" t="str">
        <f>IF('Exercício - Matriz de avaliação'!N21="","",'Exercício - Matriz de avaliação'!N21)</f>
        <v>MA</v>
      </c>
      <c r="J19" s="57" t="str">
        <f>IF('Exercício - Matriz de avaliação'!O21="","",'Exercício - Matriz de avaliação'!O21)</f>
        <v>Amazônia, Cerrado</v>
      </c>
      <c r="K19" s="57" t="str">
        <f>IF('Exercício - Matriz de avaliação'!P21="","",'Exercício - Matriz de avaliação'!P21)</f>
        <v>3. Bioeconomia e Sistemas Agroalimentares Adaptados</v>
      </c>
      <c r="L19" s="57" t="str">
        <f>IF('Exercício - Matriz de avaliação'!R21="","",'Exercício - Matriz de avaliação'!R21)</f>
        <v>Terciário</v>
      </c>
      <c r="M19" s="57" t="str">
        <f>IF('Exercício - Matriz de avaliação'!S21="","",'Exercício - Matriz de avaliação'!S21)</f>
        <v>Associação Privada</v>
      </c>
      <c r="N19" s="57" t="str">
        <f>IF('Exercício - Matriz de avaliação'!L21="","",'Exercício - Matriz de avaliação'!L21)</f>
        <v>Caio</v>
      </c>
      <c r="O19" s="59">
        <f>IF('Exercício - Matriz de avaliação'!J21="","",'Exercício - Matriz de avaliação'!J21)</f>
        <v>-2.5391</v>
      </c>
      <c r="P19" s="59">
        <f>IF('Exercício - Matriz de avaliação'!K21="","",'Exercício - Matriz de avaliação'!K21)</f>
        <v>-44.2829</v>
      </c>
      <c r="Q19" s="57">
        <f>IF('Exercício - Matriz de avaliação'!AE21="","",'Exercício - Matriz de avaliação'!AE21)</f>
        <v>0</v>
      </c>
    </row>
    <row r="20">
      <c r="A20" s="57">
        <f>IF('Exercício - Matriz de avaliação'!A22="","",'Exercício - Matriz de avaliação'!A22)</f>
        <v>19</v>
      </c>
      <c r="B20" s="57" t="str">
        <f>IF('Exercício - Matriz de avaliação'!B22="","",'Exercício - Matriz de avaliação'!B22)</f>
        <v>Territórios da Cidadania – Plataforma Territorial de Inclusão Produtiva e Bioeconomia Comunitária</v>
      </c>
      <c r="C20" s="57" t="str">
        <f>IF('Exercício - Matriz de avaliação'!C22="","",'Exercício - Matriz de avaliação'!C22)</f>
        <v>Promover o desenvolvimento territorial sustentável no Nordeste, fortalecendo a inclusão produtiva, a participação social e a articulação entre políticas públicas para reduzir desigualdades socioeconômicas, estimular atividades produtivas sustentáveis e ampliar o acesso a direitos em territórios rurais, tradicionais e vulnerabilizados.</v>
      </c>
      <c r="D20" s="57" t="str">
        <f>IF('Exercício - Matriz de avaliação'!D22="","",'Exercício - Matriz de avaliação'!D22)</f>
        <v>Desenvolvimento territorial sustentável e inclusão produtiva, com foco em organização social, governança territorial e ampliação do acesso a políticas públicas.</v>
      </c>
      <c r="E20" s="58" t="str">
        <f>IF('Exercício - Matriz de avaliação'!E22="","",'Exercício - Matriz de avaliação'!E22)</f>
        <v>Governo Federal – Programa Territórios da Cidadania (articulação interministerial)</v>
      </c>
      <c r="F20" s="58" t="str">
        <f>IF('Exercício - Matriz de avaliação'!F22="","",'Exercício - Matriz de avaliação'!F22)</f>
        <v>01.612.452/0001-97</v>
      </c>
      <c r="G20" s="58" t="str">
        <f>IF('Exercício - Matriz de avaliação'!G22="","",'Exercício - Matriz de avaliação'!G22)</f>
        <v>08/01/1997</v>
      </c>
      <c r="H20" s="57" t="str">
        <f>IF('Exercício - Matriz de avaliação'!M22="","",'Exercício - Matriz de avaliação'!M22)</f>
        <v/>
      </c>
      <c r="I20" s="57" t="str">
        <f>IF('Exercício - Matriz de avaliação'!N22="","",'Exercício - Matriz de avaliação'!N22)</f>
        <v>BA, PE, CE, RN, AL, PI, PB, SE, MA</v>
      </c>
      <c r="J20" s="57" t="str">
        <f>IF('Exercício - Matriz de avaliação'!O22="","",'Exercício - Matriz de avaliação'!O22)</f>
        <v>Mata Atlântica</v>
      </c>
      <c r="K20" s="57" t="str">
        <f>IF('Exercício - Matriz de avaliação'!P22="","",'Exercício - Matriz de avaliação'!P22)</f>
        <v>3. Bioeconomia e Sistemas Agroalimentares Adaptados</v>
      </c>
      <c r="L20" s="57" t="str">
        <f>IF('Exercício - Matriz de avaliação'!R22="","",'Exercício - Matriz de avaliação'!R22)</f>
        <v>Terciário</v>
      </c>
      <c r="M20" s="57" t="str">
        <f>IF('Exercício - Matriz de avaliação'!S22="","",'Exercício - Matriz de avaliação'!S22)</f>
        <v>Órgão Público do Poder Executivo Federal</v>
      </c>
      <c r="N20" s="57" t="str">
        <f>IF('Exercício - Matriz de avaliação'!L22="","",'Exercício - Matriz de avaliação'!L22)</f>
        <v>Caio</v>
      </c>
      <c r="O20" s="57" t="str">
        <f>IF('Exercício - Matriz de avaliação'!J22="","",'Exercício - Matriz de avaliação'!J22)</f>
        <v/>
      </c>
      <c r="P20" s="57" t="str">
        <f>IF('Exercício - Matriz de avaliação'!K22="","",'Exercício - Matriz de avaliação'!K22)</f>
        <v/>
      </c>
      <c r="Q20" s="57">
        <f>IF('Exercício - Matriz de avaliação'!AE22="","",'Exercício - Matriz de avaliação'!AE22)</f>
        <v>0</v>
      </c>
    </row>
    <row r="21" ht="15.75" customHeight="1">
      <c r="A21" s="57">
        <f>IF('Exercício - Matriz de avaliação'!A23="","",'Exercício - Matriz de avaliação'!A23)</f>
        <v>20</v>
      </c>
      <c r="B21" s="57" t="str">
        <f>IF('Exercício - Matriz de avaliação'!B23="","",'Exercício - Matriz de avaliação'!B23)</f>
        <v>Rede Nordeste de Sociobiodiversidade da Caatinga (Redeser–Terra Plantar) - Consolidação de uma economia de baixo carbono baseada na biodiversidade da Caatinga</v>
      </c>
      <c r="C21" s="57" t="str">
        <f>IF('Exercício - Matriz de avaliação'!C23="","",'Exercício - Matriz de avaliação'!C23)</f>
        <v>Promover uma economia regional de baixo carbono no Semiárido nordestino, por meio do uso sustentável da biodiversidade da Caatinga, da inovação produtiva, da restauração ecológica e da organização socioprodutiva de comunidades rurais, fortalecendo cadeias da sociobiodiversidade, ampliando a agregação de valor e garantindo a implementação efetiva da meta de desmatamento zero.</v>
      </c>
      <c r="D21" s="57" t="str">
        <f>IF('Exercício - Matriz de avaliação'!D23="","",'Exercício - Matriz de avaliação'!D23)</f>
        <v>Rastreabilidade e Mercados Sustentáveis, Bioeconomia de baixo carbono e sistemas produtivos sustentáveis baseados na biodiversidade da Caatinga.</v>
      </c>
      <c r="E21" s="58" t="str">
        <f>IF('Exercício - Matriz de avaliação'!E23="","",'Exercício - Matriz de avaliação'!E23)</f>
        <v>Fundação Araripe</v>
      </c>
      <c r="F21" s="58" t="str">
        <f>IF('Exercício - Matriz de avaliação'!F23="","",'Exercício - Matriz de avaliação'!F23)</f>
        <v>Não localizado</v>
      </c>
      <c r="G21" s="58" t="str">
        <f>IF('Exercício - Matriz de avaliação'!G23="","",'Exercício - Matriz de avaliação'!G23)</f>
        <v>Não localizado</v>
      </c>
      <c r="H21" s="57" t="str">
        <f>IF('Exercício - Matriz de avaliação'!M23="","",'Exercício - Matriz de avaliação'!M23)</f>
        <v>Piranhas</v>
      </c>
      <c r="I21" s="57" t="str">
        <f>IF('Exercício - Matriz de avaliação'!N23="","",'Exercício - Matriz de avaliação'!N23)</f>
        <v>AL</v>
      </c>
      <c r="J21" s="57" t="str">
        <f>IF('Exercício - Matriz de avaliação'!O23="","",'Exercício - Matriz de avaliação'!O23)</f>
        <v>Caatinga</v>
      </c>
      <c r="K21" s="57" t="str">
        <f>IF('Exercício - Matriz de avaliação'!P23="","",'Exercício - Matriz de avaliação'!P23)</f>
        <v>3. Bioeconomia e Sistemas Agroalimentares Adaptados</v>
      </c>
      <c r="L21" s="57" t="str">
        <f>IF('Exercício - Matriz de avaliação'!R23="","",'Exercício - Matriz de avaliação'!R23)</f>
        <v>Terciário</v>
      </c>
      <c r="M21" s="58" t="str">
        <f>IF('Exercício - Matriz de avaliação'!S23="","",'Exercício - Matriz de avaliação'!S23)</f>
        <v>Não localizado</v>
      </c>
      <c r="N21" s="57" t="str">
        <f>IF('Exercício - Matriz de avaliação'!L23="","",'Exercício - Matriz de avaliação'!L23)</f>
        <v>Caio</v>
      </c>
      <c r="O21" s="59">
        <f>IF('Exercício - Matriz de avaliação'!J23="","",'Exercício - Matriz de avaliação'!J23)</f>
        <v>-9.6242</v>
      </c>
      <c r="P21" s="59">
        <f>IF('Exercício - Matriz de avaliação'!K23="","",'Exercício - Matriz de avaliação'!K23)</f>
        <v>-37.7569</v>
      </c>
      <c r="Q21" s="57">
        <f>IF('Exercício - Matriz de avaliação'!AE23="","",'Exercício - Matriz de avaliação'!AE23)</f>
        <v>0</v>
      </c>
    </row>
    <row r="22" ht="15.75" customHeight="1">
      <c r="A22" s="57">
        <f>IF('Exercício - Matriz de avaliação'!A24="","",'Exercício - Matriz de avaliação'!A24)</f>
        <v>21</v>
      </c>
      <c r="B22" s="57" t="str">
        <f>IF('Exercício - Matriz de avaliação'!B24="","",'Exercício - Matriz de avaliação'!B24)</f>
        <v>Green Energy Park (Piauí)</v>
      </c>
      <c r="C22" s="57" t="str">
        <f>IF('Exercício - Matriz de avaliação'!C24="","",'Exercício - Matriz de avaliação'!C24)</f>
        <v>Estabelecer um polo de produção e exportação de Hidrogênio H2V e seus derivados (principalmente Amônia Verde, NH3V) no litoral do Piauí. A iniciativa visa aproveitar o abundante potencial eólico e solar da região para gerar energia limpa em grande escala, descarbonizar o transporte marítimo e a indústria global, e impulsionar a industrialização verde do estado.</v>
      </c>
      <c r="D22" s="57" t="str">
        <f>IF('Exercício - Matriz de avaliação'!D24="","",'Exercício - Matriz de avaliação'!D24)</f>
        <v>Transição Energética e a Industrialização Verde; produção de Hidrogênio Verde H2V e Amônia Verde NH3V</v>
      </c>
      <c r="E22" s="58" t="str">
        <f>IF('Exercício - Matriz de avaliação'!E24="","",'Exercício - Matriz de avaliação'!E24)</f>
        <v> Green Energy Park Piaui LTDA (GEP-PI)</v>
      </c>
      <c r="F22" s="58" t="str">
        <f>IF('Exercício - Matriz de avaliação'!F24="","",'Exercício - Matriz de avaliação'!F24)</f>
        <v>54.443.328/0001-01</v>
      </c>
      <c r="G22" s="58" t="str">
        <f>IF('Exercício - Matriz de avaliação'!G24="","",'Exercício - Matriz de avaliação'!G24)</f>
        <v>22/03/2024</v>
      </c>
      <c r="H22" s="57" t="str">
        <f>IF('Exercício - Matriz de avaliação'!M24="","",'Exercício - Matriz de avaliação'!M24)</f>
        <v>Teresina</v>
      </c>
      <c r="I22" s="57" t="str">
        <f>IF('Exercício - Matriz de avaliação'!N24="","",'Exercício - Matriz de avaliação'!N24)</f>
        <v>PI</v>
      </c>
      <c r="J22" s="57" t="str">
        <f>IF('Exercício - Matriz de avaliação'!O24="","",'Exercício - Matriz de avaliação'!O24)</f>
        <v>Cerrado, Caatinga</v>
      </c>
      <c r="K22" s="57" t="str">
        <f>IF('Exercício - Matriz de avaliação'!P24="","",'Exercício - Matriz de avaliação'!P24)</f>
        <v>4. Transição Energética</v>
      </c>
      <c r="L22" s="57" t="str">
        <f>IF('Exercício - Matriz de avaliação'!R24="","",'Exercício - Matriz de avaliação'!R24)</f>
        <v>Secundário</v>
      </c>
      <c r="M22" s="57" t="str">
        <f>IF('Exercício - Matriz de avaliação'!S24="","",'Exercício - Matriz de avaliação'!S24)</f>
        <v>Sociedade Empresária Limitada</v>
      </c>
      <c r="N22" s="57" t="str">
        <f>IF('Exercício - Matriz de avaliação'!L24="","",'Exercício - Matriz de avaliação'!L24)</f>
        <v>Lucas</v>
      </c>
      <c r="O22" s="59">
        <f>IF('Exercício - Matriz de avaliação'!J24="","",'Exercício - Matriz de avaliação'!J24)</f>
        <v>-5.0892</v>
      </c>
      <c r="P22" s="59">
        <f>IF('Exercício - Matriz de avaliação'!K24="","",'Exercício - Matriz de avaliação'!K24)</f>
        <v>-42.8019</v>
      </c>
      <c r="Q22" s="57">
        <f>IF('Exercício - Matriz de avaliação'!AE24="","",'Exercício - Matriz de avaliação'!AE24)</f>
        <v>0</v>
      </c>
    </row>
    <row r="23" ht="15.75" customHeight="1">
      <c r="A23" s="57">
        <f>IF('Exercício - Matriz de avaliação'!A25="","",'Exercício - Matriz de avaliação'!A25)</f>
        <v>22</v>
      </c>
      <c r="B23" s="57" t="str">
        <f>IF('Exercício - Matriz de avaliação'!B25="","",'Exercício - Matriz de avaliação'!B25)</f>
        <v>Logística verde e transição para operações sustentáveis no Porto de Suape (PE)</v>
      </c>
      <c r="C23" s="57" t="str">
        <f>IF('Exercício - Matriz de avaliação'!C25="","",'Exercício - Matriz de avaliação'!C25)</f>
        <v>Transformar o complexo industrial portuário em um polo de energia verde e um corredor logístico descarbonizado. Isso será atingido por meio da atração de projetos de Hidrogênio Verde H2V e seus derivados (como amônia aerde e e-metanol) para descarbonizar as operações portuárias, o transporte marítimo e a indústria local, garantindo eficiência e sustentabilidade ambiental na gestão de resíduos e infraestrutura.</v>
      </c>
      <c r="D23" s="57" t="str">
        <f>IF('Exercício - Matriz de avaliação'!D25="","",'Exercício - Matriz de avaliação'!D25)</f>
        <v>Descarbonização da cadeia logística; industrialização verde.</v>
      </c>
      <c r="E23" s="58" t="str">
        <f>IF('Exercício - Matriz de avaliação'!E25="","",'Exercício - Matriz de avaliação'!E25)</f>
        <v>Complexo Industrial Portuário de Suape – Governo do Estado de Pernambuco</v>
      </c>
      <c r="F23" s="58" t="str">
        <f>IF('Exercício - Matriz de avaliação'!F25="","",'Exercício - Matriz de avaliação'!F25)</f>
        <v>11.448.933/0001-62</v>
      </c>
      <c r="G23" s="58" t="str">
        <f>IF('Exercício - Matriz de avaliação'!G25="","",'Exercício - Matriz de avaliação'!G25)</f>
        <v>10/04/1979</v>
      </c>
      <c r="H23" s="57" t="str">
        <f>IF('Exercício - Matriz de avaliação'!M25="","",'Exercício - Matriz de avaliação'!M25)</f>
        <v>Ipojuca</v>
      </c>
      <c r="I23" s="57" t="str">
        <f>IF('Exercício - Matriz de avaliação'!N25="","",'Exercício - Matriz de avaliação'!N25)</f>
        <v>PE</v>
      </c>
      <c r="J23" s="57" t="str">
        <f>IF('Exercício - Matriz de avaliação'!O25="","",'Exercício - Matriz de avaliação'!O25)</f>
        <v>Mata Atlântica</v>
      </c>
      <c r="K23" s="57" t="str">
        <f>IF('Exercício - Matriz de avaliação'!P25="","",'Exercício - Matriz de avaliação'!P25)</f>
        <v>4. Transição Energética</v>
      </c>
      <c r="L23" s="57" t="str">
        <f>IF('Exercício - Matriz de avaliação'!R25="","",'Exercício - Matriz de avaliação'!R25)</f>
        <v>Terciário</v>
      </c>
      <c r="M23" s="57" t="str">
        <f>IF('Exercício - Matriz de avaliação'!S25="","",'Exercício - Matriz de avaliação'!S25)</f>
        <v>Empresa Pública</v>
      </c>
      <c r="N23" s="57" t="str">
        <f>IF('Exercício - Matriz de avaliação'!L25="","",'Exercício - Matriz de avaliação'!L25)</f>
        <v>Lucas</v>
      </c>
      <c r="O23" s="59">
        <f>IF('Exercício - Matriz de avaliação'!J25="","",'Exercício - Matriz de avaliação'!J25)</f>
        <v>-8.3993</v>
      </c>
      <c r="P23" s="59">
        <f>IF('Exercício - Matriz de avaliação'!K25="","",'Exercício - Matriz de avaliação'!K25)</f>
        <v>-35.0639</v>
      </c>
      <c r="Q23" s="57">
        <f>IF('Exercício - Matriz de avaliação'!AE25="","",'Exercício - Matriz de avaliação'!AE25)</f>
        <v>0</v>
      </c>
    </row>
    <row r="24" ht="15.75" customHeight="1">
      <c r="A24" s="57">
        <f>IF('Exercício - Matriz de avaliação'!A26="","",'Exercício - Matriz de avaliação'!A26)</f>
        <v>23</v>
      </c>
      <c r="B24" s="57" t="str">
        <f>IF('Exercício - Matriz de avaliação'!B26="","",'Exercício - Matriz de avaliação'!B26)</f>
        <v>SENAI CIMATEC – Formação, inovação tecnológica e transição energética (BA)</v>
      </c>
      <c r="C24" s="57" t="str">
        <f>IF('Exercício - Matriz de avaliação'!C26="","",'Exercício - Matriz de avaliação'!C26)</f>
        <v>Ser um complexo de educação profissional, pesquisa aplicada e inovação tecnológica, voltado à capacitação de mão de obra especializada e ao desenvolvimento de tecnologias limpas em áreas como hidrogênio verde, bioenergia, armazenamento e smart grids, promovendo a industrialização e a transição energética do Nordeste.</v>
      </c>
      <c r="D24" s="57" t="str">
        <f>IF('Exercício - Matriz de avaliação'!D26="","",'Exercício - Matriz de avaliação'!D26)</f>
        <v>Inovação tecnológica e a formação profissional qualificada com foco em H2V, bioenergia e sistemas inteligentes.</v>
      </c>
      <c r="E24" s="58" t="str">
        <f>IF('Exercício - Matriz de avaliação'!E26="","",'Exercício - Matriz de avaliação'!E26)</f>
        <v>SENAI – Departamento Regional da Bahia (mantenedora do CIMATEC)</v>
      </c>
      <c r="F24" s="58" t="str">
        <f>IF('Exercício - Matriz de avaliação'!F26="","",'Exercício - Matriz de avaliação'!F26)</f>
        <v>03.795.071/0001-16</v>
      </c>
      <c r="G24" s="58" t="str">
        <f>IF('Exercício - Matriz de avaliação'!G26="","",'Exercício - Matriz de avaliação'!G26)</f>
        <v>03/05/2000</v>
      </c>
      <c r="H24" s="57" t="str">
        <f>IF('Exercício - Matriz de avaliação'!M26="","",'Exercício - Matriz de avaliação'!M26)</f>
        <v>Salvador</v>
      </c>
      <c r="I24" s="57" t="str">
        <f>IF('Exercício - Matriz de avaliação'!N26="","",'Exercício - Matriz de avaliação'!N26)</f>
        <v>BA</v>
      </c>
      <c r="J24" s="57" t="str">
        <f>IF('Exercício - Matriz de avaliação'!O26="","",'Exercício - Matriz de avaliação'!O26)</f>
        <v>Mata Atlântica</v>
      </c>
      <c r="K24" s="57" t="str">
        <f>IF('Exercício - Matriz de avaliação'!P26="","",'Exercício - Matriz de avaliação'!P26)</f>
        <v>4. Transição Energética</v>
      </c>
      <c r="L24" s="57" t="str">
        <f>IF('Exercício - Matriz de avaliação'!R26="","",'Exercício - Matriz de avaliação'!R26)</f>
        <v>Terciário</v>
      </c>
      <c r="M24" s="57" t="str">
        <f>IF('Exercício - Matriz de avaliação'!S26="","",'Exercício - Matriz de avaliação'!S26)</f>
        <v>Serviço Social Autônomo</v>
      </c>
      <c r="N24" s="57" t="str">
        <f>IF('Exercício - Matriz de avaliação'!L26="","",'Exercício - Matriz de avaliação'!L26)</f>
        <v>Lucas</v>
      </c>
      <c r="O24" s="59">
        <f>IF('Exercício - Matriz de avaliação'!J26="","",'Exercício - Matriz de avaliação'!J26)</f>
        <v>-12.9777</v>
      </c>
      <c r="P24" s="59">
        <f>IF('Exercício - Matriz de avaliação'!K26="","",'Exercício - Matriz de avaliação'!K26)</f>
        <v>-38.5016</v>
      </c>
      <c r="Q24" s="57">
        <f>IF('Exercício - Matriz de avaliação'!AE26="","",'Exercício - Matriz de avaliação'!AE26)</f>
        <v>0</v>
      </c>
    </row>
    <row r="25" ht="15.75" customHeight="1">
      <c r="A25" s="57">
        <f>IF('Exercício - Matriz de avaliação'!A27="","",'Exercício - Matriz de avaliação'!A27)</f>
        <v>24</v>
      </c>
      <c r="B25" s="57" t="str">
        <f>IF('Exercício - Matriz de avaliação'!B27="","",'Exercício - Matriz de avaliação'!B27)</f>
        <v>LabSolar+ – Pesquisa, inovação e capacitação em energia solar (RN)</v>
      </c>
      <c r="C25" s="57" t="str">
        <f>IF('Exercício - Matriz de avaliação'!C27="","",'Exercício - Matriz de avaliação'!C27)</f>
        <v>Atuar como um polo de pesquisa aplicada, inovação tecnológica e capacitação profissional em energia solar fotovoltaica, com foco na expansão da geração distribuída, eficiência energética, desenvolvimento de sistemas híbridos solar/eólico e armazenamento de energia (BESS) no Nordeste.</v>
      </c>
      <c r="D25" s="57" t="str">
        <f>IF('Exercício - Matriz de avaliação'!D27="","",'Exercício - Matriz de avaliação'!D27)</f>
        <v>Pesquisa Aplicada e Capacitação Profissional focada na expansão da energia solar fotovoltaica e Geração Distribuída</v>
      </c>
      <c r="E25" s="58" t="str">
        <f>IF('Exercício - Matriz de avaliação'!E27="","",'Exercício - Matriz de avaliação'!E27)</f>
        <v>LabSolar+ – instituição de pesquisa (RN) (organização executora a confirmar)</v>
      </c>
      <c r="F25" s="58" t="str">
        <f>IF('Exercício - Matriz de avaliação'!F27="","",'Exercício - Matriz de avaliação'!F27)</f>
        <v>10.877.412/0001-68</v>
      </c>
      <c r="G25" s="58" t="str">
        <f>IF('Exercício - Matriz de avaliação'!G27="","",'Exercício - Matriz de avaliação'!G27)</f>
        <v>29/12/2008</v>
      </c>
      <c r="H25" s="57" t="str">
        <f>IF('Exercício - Matriz de avaliação'!M27="","",'Exercício - Matriz de avaliação'!M27)</f>
        <v>Natal</v>
      </c>
      <c r="I25" s="57" t="str">
        <f>IF('Exercício - Matriz de avaliação'!N27="","",'Exercício - Matriz de avaliação'!N27)</f>
        <v>RN</v>
      </c>
      <c r="J25" s="57" t="str">
        <f>IF('Exercício - Matriz de avaliação'!O27="","",'Exercício - Matriz de avaliação'!O27)</f>
        <v>Mata Atlântica, Caatinga</v>
      </c>
      <c r="K25" s="57" t="str">
        <f>IF('Exercício - Matriz de avaliação'!P27="","",'Exercício - Matriz de avaliação'!P27)</f>
        <v>4. Transição Energética</v>
      </c>
      <c r="L25" s="57" t="str">
        <f>IF('Exercício - Matriz de avaliação'!R27="","",'Exercício - Matriz de avaliação'!R27)</f>
        <v>Terciário</v>
      </c>
      <c r="M25" s="57" t="str">
        <f>IF('Exercício - Matriz de avaliação'!S27="","",'Exercício - Matriz de avaliação'!S27)</f>
        <v>Órgão Público do Poder Executivo Federal</v>
      </c>
      <c r="N25" s="57" t="str">
        <f>IF('Exercício - Matriz de avaliação'!L27="","",'Exercício - Matriz de avaliação'!L27)</f>
        <v>Lucas</v>
      </c>
      <c r="O25" s="59">
        <f>IF('Exercício - Matriz de avaliação'!J27="","",'Exercício - Matriz de avaliação'!J27)</f>
        <v>-5.7945</v>
      </c>
      <c r="P25" s="59">
        <f>IF('Exercício - Matriz de avaliação'!K27="","",'Exercício - Matriz de avaliação'!K27)</f>
        <v>-35.211</v>
      </c>
      <c r="Q25" s="57">
        <f>IF('Exercício - Matriz de avaliação'!AE27="","",'Exercício - Matriz de avaliação'!AE27)</f>
        <v>0</v>
      </c>
    </row>
    <row r="26" ht="15.75" customHeight="1">
      <c r="A26" s="57">
        <f>IF('Exercício - Matriz de avaliação'!A28="","",'Exercício - Matriz de avaliação'!A28)</f>
        <v>25</v>
      </c>
      <c r="B26" s="57" t="str">
        <f>IF('Exercício - Matriz de avaliação'!B28="","",'Exercício - Matriz de avaliação'!B28)</f>
        <v>Programa 1 Milhão de Tetos Solares (P1MTS) – Nordeste</v>
      </c>
      <c r="C26" s="57" t="str">
        <f>IF('Exercício - Matriz de avaliação'!C28="","",'Exercício - Matriz de avaliação'!C28)</f>
        <v>Promover a produção descentralizada de energia fotovoltaica em residências e unidades comunitárias do Semiárido, fortalecendo a autonomia energética, a inclusão social e a justiça climática para famílias de baixa renda e em situação de vulnerabilidade.</v>
      </c>
      <c r="D26" s="57" t="str">
        <f>IF('Exercício - Matriz de avaliação'!D28="","",'Exercício - Matriz de avaliação'!D28)</f>
        <v>Justiça climática e inclusão social; produção fotovoltaica comunitária; redução da vulnerabilidade de famílias rurais do Semiárido.</v>
      </c>
      <c r="E26" s="58" t="str">
        <f>IF('Exercício - Matriz de avaliação'!E28="","",'Exercício - Matriz de avaliação'!E28)</f>
        <v>Governo Federal / estaduais – Programa 1 Milhão de Tetos Solares (articulação ASA/sociedade civil)</v>
      </c>
      <c r="F26" s="58" t="str">
        <f>IF('Exercício - Matriz de avaliação'!F28="","",'Exercício - Matriz de avaliação'!F28)</f>
        <v>05.080.329/0001-23</v>
      </c>
      <c r="G26" s="58" t="str">
        <f>IF('Exercício - Matriz de avaliação'!G28="","",'Exercício - Matriz de avaliação'!G28)</f>
        <v>2002</v>
      </c>
      <c r="H26" s="57" t="str">
        <f>IF('Exercício - Matriz de avaliação'!M28="","",'Exercício - Matriz de avaliação'!M28)</f>
        <v>Recife</v>
      </c>
      <c r="I26" s="57" t="str">
        <f>IF('Exercício - Matriz de avaliação'!N28="","",'Exercício - Matriz de avaliação'!N28)</f>
        <v>BA, PE, CE, RN, AL, PI, PB, SE, MA</v>
      </c>
      <c r="J26" s="57" t="str">
        <f>IF('Exercício - Matriz de avaliação'!O28="","",'Exercício - Matriz de avaliação'!O28)</f>
        <v>Mata Atlântica, Caatinga, Cerrado, Amazônia</v>
      </c>
      <c r="K26" s="57" t="str">
        <f>IF('Exercício - Matriz de avaliação'!P28="","",'Exercício - Matriz de avaliação'!P28)</f>
        <v>4. Transição Energética</v>
      </c>
      <c r="L26" s="57" t="str">
        <f>IF('Exercício - Matriz de avaliação'!R28="","",'Exercício - Matriz de avaliação'!R28)</f>
        <v>Terciário</v>
      </c>
      <c r="M26" s="57" t="str">
        <f>IF('Exercício - Matriz de avaliação'!S28="","",'Exercício - Matriz de avaliação'!S28)</f>
        <v>Associação Privada</v>
      </c>
      <c r="N26" s="57" t="str">
        <f>IF('Exercício - Matriz de avaliação'!L28="","",'Exercício - Matriz de avaliação'!L28)</f>
        <v>Lucas</v>
      </c>
      <c r="O26" s="59">
        <f>IF('Exercício - Matriz de avaliação'!J28="","",'Exercício - Matriz de avaliação'!J28)</f>
        <v>-8.0476</v>
      </c>
      <c r="P26" s="59">
        <f>IF('Exercício - Matriz de avaliação'!K28="","",'Exercício - Matriz de avaliação'!K28)</f>
        <v>-34.877</v>
      </c>
      <c r="Q26" s="57">
        <f>IF('Exercício - Matriz de avaliação'!AE28="","",'Exercício - Matriz de avaliação'!AE28)</f>
        <v>0</v>
      </c>
    </row>
    <row r="27" ht="15.75" customHeight="1">
      <c r="A27" s="57">
        <f>IF('Exercício - Matriz de avaliação'!A29="","",'Exercício - Matriz de avaliação'!A29)</f>
        <v>26</v>
      </c>
      <c r="B27" s="57" t="str">
        <f>IF('Exercício - Matriz de avaliação'!B29="","",'Exercício - Matriz de avaliação'!B29)</f>
        <v>Programa Água Doce – Segurança hídrica e integração energética no Semiárido</v>
      </c>
      <c r="C27" s="57" t="str">
        <f>IF('Exercício - Matriz de avaliação'!C29="","",'Exercício - Matriz de avaliação'!C29)</f>
        <v>Promover a dessalinização de águas salobras e salinas, garantindo o abastecimento seguro de água para consumo humano e atividades produtivas em comunidades rurais do Semiárido brasileiro, integrando essa solução com a geração de energia renovável descentralizada.</v>
      </c>
      <c r="D27" s="57" t="str">
        <f>IF('Exercício - Matriz de avaliação'!D29="","",'Exercício - Matriz de avaliação'!D29)</f>
        <v>Segurança hídrica e a resiliência climática; inovação tecnológica da dessalinização; Geração Distribuída (GD).</v>
      </c>
      <c r="E27" s="58" t="str">
        <f>IF('Exercício - Matriz de avaliação'!E29="","",'Exercício - Matriz de avaliação'!E29)</f>
        <v>Governo Federal – Ministério da Integração e do Desenvolvimento Regional (Programa Água Doce/MMA)</v>
      </c>
      <c r="F27" s="58" t="str">
        <f>IF('Exercício - Matriz de avaliação'!F29="","",'Exercício - Matriz de avaliação'!F29)</f>
        <v>03.353.358/0001-96</v>
      </c>
      <c r="G27" s="58" t="str">
        <f>IF('Exercício - Matriz de avaliação'!G29="","",'Exercício - Matriz de avaliação'!G29)</f>
        <v>24/08/1999</v>
      </c>
      <c r="H27" s="57" t="str">
        <f>IF('Exercício - Matriz de avaliação'!M29="","",'Exercício - Matriz de avaliação'!M29)</f>
        <v>Brasília</v>
      </c>
      <c r="I27" s="57" t="str">
        <f>IF('Exercício - Matriz de avaliação'!N29="","",'Exercício - Matriz de avaliação'!N29)</f>
        <v>BA, PE, CE, RN, AL, PI, PB, SE, MA</v>
      </c>
      <c r="J27" s="57" t="str">
        <f>IF('Exercício - Matriz de avaliação'!O29="","",'Exercício - Matriz de avaliação'!O29)</f>
        <v>Mata Atlântica, Caatinga, Cerrado, Amazônia</v>
      </c>
      <c r="K27" s="57" t="str">
        <f>IF('Exercício - Matriz de avaliação'!P29="","",'Exercício - Matriz de avaliação'!P29)</f>
        <v>4. Transição Energética</v>
      </c>
      <c r="L27" s="57" t="str">
        <f>IF('Exercício - Matriz de avaliação'!R29="","",'Exercício - Matriz de avaliação'!R29)</f>
        <v>Terciário</v>
      </c>
      <c r="M27" s="57" t="str">
        <f>IF('Exercício - Matriz de avaliação'!S29="","",'Exercício - Matriz de avaliação'!S29)</f>
        <v>Órgão Público do Poder Executivo Federal</v>
      </c>
      <c r="N27" s="57" t="str">
        <f>IF('Exercício - Matriz de avaliação'!L29="","",'Exercício - Matriz de avaliação'!L29)</f>
        <v>Lucas</v>
      </c>
      <c r="O27" s="59">
        <f>IF('Exercício - Matriz de avaliação'!J29="","",'Exercício - Matriz de avaliação'!J29)</f>
        <v>-15.7942</v>
      </c>
      <c r="P27" s="59">
        <f>IF('Exercício - Matriz de avaliação'!K29="","",'Exercício - Matriz de avaliação'!K29)</f>
        <v>-47.8822</v>
      </c>
      <c r="Q27" s="57">
        <f>IF('Exercício - Matriz de avaliação'!AE29="","",'Exercício - Matriz de avaliação'!AE29)</f>
        <v>0</v>
      </c>
    </row>
    <row r="28" ht="15.75" customHeight="1">
      <c r="A28" s="57">
        <f>IF('Exercício - Matriz de avaliação'!A30="","",'Exercício - Matriz de avaliação'!A30)</f>
        <v>27</v>
      </c>
      <c r="B28" s="57" t="str">
        <f>IF('Exercício - Matriz de avaliação'!B30="","",'Exercício - Matriz de avaliação'!B30)</f>
        <v>Programa Nacional de Biodigestores e Biogás – Inclusão energética e fortalecimento produtivo no meio rural</v>
      </c>
      <c r="C28" s="57" t="str">
        <f>IF('Exercício - Matriz de avaliação'!C30="","",'Exercício - Matriz de avaliação'!C30)</f>
        <v>Promover a implantação descentralizada de biodigestores em propriedades rurais, assentamentos e comunidades tradicionais, com foco na produção de biogás, biometano e biofertilizantes, visando a mitigação de emissões, a inclusão energética e o fortalecimento produtivo da agricultura familiar.</v>
      </c>
      <c r="D28" s="57" t="str">
        <f>IF('Exercício - Matriz de avaliação'!D30="","",'Exercício - Matriz de avaliação'!D30)</f>
        <v>Bioenergia; inclusão energética no meio rural; produção descentralizada de biogás/biometano e biofertilizantes.</v>
      </c>
      <c r="E28" s="58" t="str">
        <f>IF('Exercício - Matriz de avaliação'!E30="","",'Exercício - Matriz de avaliação'!E30)</f>
        <v>Governo Federal – programa nacional de biodigestores e biogás (órgão gestor a confirmar)</v>
      </c>
      <c r="F28" s="58" t="str">
        <f>IF('Exercício - Matriz de avaliação'!F30="","",'Exercício - Matriz de avaliação'!F30)</f>
        <v>Não localizado</v>
      </c>
      <c r="G28" s="58" t="str">
        <f>IF('Exercício - Matriz de avaliação'!G30="","",'Exercício - Matriz de avaliação'!G30)</f>
        <v> 04/06/2002</v>
      </c>
      <c r="H28" s="57" t="str">
        <f>IF('Exercício - Matriz de avaliação'!M30="","",'Exercício - Matriz de avaliação'!M30)</f>
        <v>Brasília</v>
      </c>
      <c r="I28" s="57" t="str">
        <f>IF('Exercício - Matriz de avaliação'!N30="","",'Exercício - Matriz de avaliação'!N30)</f>
        <v>BA, PE, CE, RN, AL, PI, PB, SE, MA</v>
      </c>
      <c r="J28" s="57" t="str">
        <f>IF('Exercício - Matriz de avaliação'!O30="","",'Exercício - Matriz de avaliação'!O30)</f>
        <v>Mata Atlântica, Caatinga, Cerrado, Amazônia</v>
      </c>
      <c r="K28" s="57" t="str">
        <f>IF('Exercício - Matriz de avaliação'!P30="","",'Exercício - Matriz de avaliação'!P30)</f>
        <v>4. Transição Energética</v>
      </c>
      <c r="L28" s="57" t="str">
        <f>IF('Exercício - Matriz de avaliação'!R30="","",'Exercício - Matriz de avaliação'!R30)</f>
        <v>Terciário</v>
      </c>
      <c r="M28" s="57" t="str">
        <f>IF('Exercício - Matriz de avaliação'!S30="","",'Exercício - Matriz de avaliação'!S30)</f>
        <v/>
      </c>
      <c r="N28" s="57" t="str">
        <f>IF('Exercício - Matriz de avaliação'!L30="","",'Exercício - Matriz de avaliação'!L30)</f>
        <v>Lucas</v>
      </c>
      <c r="O28" s="59">
        <f>IF('Exercício - Matriz de avaliação'!J30="","",'Exercício - Matriz de avaliação'!J30)</f>
        <v>-15.7942</v>
      </c>
      <c r="P28" s="59">
        <f>IF('Exercício - Matriz de avaliação'!K30="","",'Exercício - Matriz de avaliação'!K30)</f>
        <v>-47.8822</v>
      </c>
      <c r="Q28" s="57">
        <f>IF('Exercício - Matriz de avaliação'!AE30="","",'Exercício - Matriz de avaliação'!AE30)</f>
        <v>0</v>
      </c>
    </row>
    <row r="29" ht="15.75" customHeight="1">
      <c r="A29" s="57">
        <f>IF('Exercício - Matriz de avaliação'!A31="","",'Exercício - Matriz de avaliação'!A31)</f>
        <v>28</v>
      </c>
      <c r="B29" s="57" t="str">
        <f>IF('Exercício - Matriz de avaliação'!B31="","",'Exercício - Matriz de avaliação'!B31)</f>
        <v>Programa Mais Luz para a Amazônia e o Semiárido – Expansão da Energia Renovável para Comunidades Isoladas</v>
      </c>
      <c r="C29" s="57" t="str">
        <f>IF('Exercício - Matriz de avaliação'!C31="","",'Exercício - Matriz de avaliação'!C31)</f>
        <v>Garantir o acesso universal à energia elétrica por meio da instalação de sistemas renováveis descentralizados (principalmente solar fotovoltaico off-grid), com foco em regiões isoladas, comunidades rurais difusas, assentamentos, territórios quilombolas e indígenas no Semiárido e na Amazônia, onde a extensão da rede convencional é inviável técnica ou economicamente.</v>
      </c>
      <c r="D29" s="57" t="str">
        <f>IF('Exercício - Matriz de avaliação'!D31="","",'Exercício - Matriz de avaliação'!D31)</f>
        <v>Universalização do acesso à energia elétrica; inclusão energética.</v>
      </c>
      <c r="E29" s="58" t="str">
        <f>IF('Exercício - Matriz de avaliação'!E31="","",'Exercício - Matriz de avaliação'!E31)</f>
        <v>Governo Federal – Ministério de Minas e Energia (Programa Mais Luz para a Amazônia)</v>
      </c>
      <c r="F29" s="58" t="str">
        <f>IF('Exercício - Matriz de avaliação'!F31="","",'Exercício - Matriz de avaliação'!F31)</f>
        <v>37.115.383/0001-53</v>
      </c>
      <c r="G29" s="58" t="str">
        <f>IF('Exercício - Matriz de avaliação'!G31="","",'Exercício - Matriz de avaliação'!G31)</f>
        <v>12/05/1992</v>
      </c>
      <c r="H29" s="57" t="str">
        <f>IF('Exercício - Matriz de avaliação'!M31="","",'Exercício - Matriz de avaliação'!M31)</f>
        <v>Brasília</v>
      </c>
      <c r="I29" s="57" t="str">
        <f>IF('Exercício - Matriz de avaliação'!N31="","",'Exercício - Matriz de avaliação'!N31)</f>
        <v>BA, PE, CE, RN, AL, PI, PB, SE, MA</v>
      </c>
      <c r="J29" s="57" t="str">
        <f>IF('Exercício - Matriz de avaliação'!O31="","",'Exercício - Matriz de avaliação'!O31)</f>
        <v>Caatinga, Amazônia</v>
      </c>
      <c r="K29" s="57" t="str">
        <f>IF('Exercício - Matriz de avaliação'!P31="","",'Exercício - Matriz de avaliação'!P31)</f>
        <v>4. Transição Energética</v>
      </c>
      <c r="L29" s="57" t="str">
        <f>IF('Exercício - Matriz de avaliação'!R31="","",'Exercício - Matriz de avaliação'!R31)</f>
        <v>Terciário</v>
      </c>
      <c r="M29" s="57" t="str">
        <f>IF('Exercício - Matriz de avaliação'!S31="","",'Exercício - Matriz de avaliação'!S31)</f>
        <v>Órgão Público do Poder Executivo Federal</v>
      </c>
      <c r="N29" s="57" t="str">
        <f>IF('Exercício - Matriz de avaliação'!L31="","",'Exercício - Matriz de avaliação'!L31)</f>
        <v>Lucas</v>
      </c>
      <c r="O29" s="59">
        <f>IF('Exercício - Matriz de avaliação'!J31="","",'Exercício - Matriz de avaliação'!J31)</f>
        <v>-15.7942</v>
      </c>
      <c r="P29" s="59">
        <f>IF('Exercício - Matriz de avaliação'!K31="","",'Exercício - Matriz de avaliação'!K31)</f>
        <v>-47.8822</v>
      </c>
      <c r="Q29" s="57">
        <f>IF('Exercício - Matriz de avaliação'!AE31="","",'Exercício - Matriz de avaliação'!AE31)</f>
        <v>0</v>
      </c>
    </row>
    <row r="30" ht="15.75" customHeight="1">
      <c r="A30" s="57">
        <f>IF('Exercício - Matriz de avaliação'!A32="","",'Exercício - Matriz de avaliação'!A32)</f>
        <v>29</v>
      </c>
      <c r="B30" s="57" t="str">
        <f>IF('Exercício - Matriz de avaliação'!B32="","",'Exercício - Matriz de avaliação'!B32)</f>
        <v>APROBAMBU (MA)</v>
      </c>
      <c r="C30" s="57" t="str">
        <f>IF('Exercício - Matriz de avaliação'!C32="","",'Exercício - Matriz de avaliação'!C32)</f>
        <v>Promover uma cadeia de valor sustentável de bioeconomia e bioenergia, utilizando o bambu para a produção de etanol de segunda geração (2G), biomassa energética e bioprodutos de alto valor, fortalecendo a inovação tecnológica e o desenvolvimento rural.</v>
      </c>
      <c r="D30" s="57" t="str">
        <f>IF('Exercício - Matriz de avaliação'!D32="","",'Exercício - Matriz de avaliação'!D32)</f>
        <v>Bioeconomia e bioenergia de segunda geração</v>
      </c>
      <c r="E30" s="58" t="str">
        <f>IF('Exercício - Matriz de avaliação'!E32="","",'Exercício - Matriz de avaliação'!E32)</f>
        <v>APROBAMBU – Associação dos Produtores de Bambu (MA)</v>
      </c>
      <c r="F30" s="58" t="str">
        <f>IF('Exercício - Matriz de avaliação'!F32="","",'Exercício - Matriz de avaliação'!F32)</f>
        <v>36.690.138/0001-07</v>
      </c>
      <c r="G30" s="58" t="str">
        <f>IF('Exercício - Matriz de avaliação'!G32="","",'Exercício - Matriz de avaliação'!G32)</f>
        <v>31/08/2018</v>
      </c>
      <c r="H30" s="57" t="str">
        <f>IF('Exercício - Matriz de avaliação'!M32="","",'Exercício - Matriz de avaliação'!M32)</f>
        <v>São Luís</v>
      </c>
      <c r="I30" s="57" t="str">
        <f>IF('Exercício - Matriz de avaliação'!N32="","",'Exercício - Matriz de avaliação'!N32)</f>
        <v>MA</v>
      </c>
      <c r="J30" s="57" t="str">
        <f>IF('Exercício - Matriz de avaliação'!O32="","",'Exercício - Matriz de avaliação'!O32)</f>
        <v>Amazônia</v>
      </c>
      <c r="K30" s="57" t="str">
        <f>IF('Exercício - Matriz de avaliação'!P32="","",'Exercício - Matriz de avaliação'!P32)</f>
        <v>4. Transição Energética</v>
      </c>
      <c r="L30" s="57" t="str">
        <f>IF('Exercício - Matriz de avaliação'!R32="","",'Exercício - Matriz de avaliação'!R32)</f>
        <v>Terciário</v>
      </c>
      <c r="M30" s="57" t="str">
        <f>IF('Exercício - Matriz de avaliação'!S32="","",'Exercício - Matriz de avaliação'!S32)</f>
        <v>Associação Privada</v>
      </c>
      <c r="N30" s="57" t="str">
        <f>IF('Exercício - Matriz de avaliação'!L32="","",'Exercício - Matriz de avaliação'!L32)</f>
        <v>Lucas</v>
      </c>
      <c r="O30" s="59">
        <f>IF('Exercício - Matriz de avaliação'!J32="","",'Exercício - Matriz de avaliação'!J32)</f>
        <v>-2.5391</v>
      </c>
      <c r="P30" s="59">
        <f>IF('Exercício - Matriz de avaliação'!K32="","",'Exercício - Matriz de avaliação'!K32)</f>
        <v>-44.2829</v>
      </c>
      <c r="Q30" s="57">
        <f>IF('Exercício - Matriz de avaliação'!AE32="","",'Exercício - Matriz de avaliação'!AE32)</f>
        <v>0</v>
      </c>
    </row>
    <row r="31" ht="15.75" customHeight="1">
      <c r="A31" s="57">
        <f>IF('Exercício - Matriz de avaliação'!A33="","",'Exercício - Matriz de avaliação'!A33)</f>
        <v>30</v>
      </c>
      <c r="B31" s="57" t="str">
        <f>IF('Exercício - Matriz de avaliação'!B33="","",'Exercício - Matriz de avaliação'!B33)</f>
        <v>Raízes Solares (MA) – Programa comunitário de inclusão energética e geração fotovoltaica</v>
      </c>
      <c r="C31" s="57" t="str">
        <f>IF('Exercício - Matriz de avaliação'!C33="","",'Exercício - Matriz de avaliação'!C33)</f>
        <v>Implantar um modelo inovador de transição energética justa em comunidades tradicionais (quilombolas), instalando uma usina solar fotovoltaica comunitária para reduzir a pobreza energética, fortalecer a autonomia econômica e produtiva (agroecologia) e criar um Fundo Econômico Comunitário autossustentável para reinvestimento.</v>
      </c>
      <c r="D31" s="57" t="str">
        <f>IF('Exercício - Matriz de avaliação'!D33="","",'Exercício - Matriz de avaliação'!D33)</f>
        <v>Transição energética justa; autonomia comunitária; geração fotovoltaica comunitária; fortalecimento econômico em territórios quilombolas e tradicionais.</v>
      </c>
      <c r="E31" s="58" t="str">
        <f>IF('Exercício - Matriz de avaliação'!E33="","",'Exercício - Matriz de avaliação'!E33)</f>
        <v>Raízes Solares – programa comunitário (organização executora a confirmar)</v>
      </c>
      <c r="F31" s="58" t="str">
        <f>IF('Exercício - Matriz de avaliação'!F33="","",'Exercício - Matriz de avaliação'!F33)</f>
        <v>07.060.718/0001-12</v>
      </c>
      <c r="G31" s="58" t="str">
        <f>IF('Exercício - Matriz de avaliação'!G33="","",'Exercício - Matriz de avaliação'!G33)</f>
        <v>28/08/2004</v>
      </c>
      <c r="H31" s="57" t="str">
        <f>IF('Exercício - Matriz de avaliação'!M33="","",'Exercício - Matriz de avaliação'!M33)</f>
        <v>São Luís</v>
      </c>
      <c r="I31" s="57" t="str">
        <f>IF('Exercício - Matriz de avaliação'!N33="","",'Exercício - Matriz de avaliação'!N33)</f>
        <v>MA</v>
      </c>
      <c r="J31" s="57" t="str">
        <f>IF('Exercício - Matriz de avaliação'!O33="","",'Exercício - Matriz de avaliação'!O33)</f>
        <v>Amazônia</v>
      </c>
      <c r="K31" s="57" t="str">
        <f>IF('Exercício - Matriz de avaliação'!P33="","",'Exercício - Matriz de avaliação'!P33)</f>
        <v>4. Transição Energética</v>
      </c>
      <c r="L31" s="57" t="str">
        <f>IF('Exercício - Matriz de avaliação'!R33="","",'Exercício - Matriz de avaliação'!R33)</f>
        <v>Terciário</v>
      </c>
      <c r="M31" s="57" t="str">
        <f>IF('Exercício - Matriz de avaliação'!S33="","",'Exercício - Matriz de avaliação'!S33)</f>
        <v>Fundação Privada</v>
      </c>
      <c r="N31" s="57" t="str">
        <f>IF('Exercício - Matriz de avaliação'!L33="","",'Exercício - Matriz de avaliação'!L33)</f>
        <v>Lucas</v>
      </c>
      <c r="O31" s="59">
        <f>IF('Exercício - Matriz de avaliação'!J33="","",'Exercício - Matriz de avaliação'!J33)</f>
        <v>-2.5391</v>
      </c>
      <c r="P31" s="59">
        <f>IF('Exercício - Matriz de avaliação'!K33="","",'Exercício - Matriz de avaliação'!K33)</f>
        <v>-44.2829</v>
      </c>
      <c r="Q31" s="57">
        <f>IF('Exercício - Matriz de avaliação'!AE33="","",'Exercício - Matriz de avaliação'!AE33)</f>
        <v>0</v>
      </c>
    </row>
    <row r="32" ht="15.75" customHeight="1">
      <c r="A32" s="57">
        <f>IF('Exercício - Matriz de avaliação'!A34="","",'Exercício - Matriz de avaliação'!A34)</f>
        <v>31</v>
      </c>
      <c r="B32" s="57" t="str">
        <f>IF('Exercício - Matriz de avaliação'!B34="","",'Exercício - Matriz de avaliação'!B34)</f>
        <v>SEDEPE – Articulação de Políticas Estaduais de Transição Verde (PE)</v>
      </c>
      <c r="C32" s="57" t="str">
        <f>IF('Exercício - Matriz de avaliação'!C34="","",'Exercício - Matriz de avaliação'!C34)</f>
        <v>Coordenar e integrar as políticas públicas do Governo de Pernambuco para a transição energética e sustentável, atraindo investimentos verdes (como o H2V) e promovendo a descarbonização da economia, articulando essas ações com a sociedade civil organizada, ONGs e movimentos sociais para garantir a justiça socioambiental e a inclusão produtiva no estado.</v>
      </c>
      <c r="D32" s="57" t="str">
        <f>IF('Exercício - Matriz de avaliação'!D34="","",'Exercício - Matriz de avaliação'!D34)</f>
        <v>Transição Energética justa e sustentável</v>
      </c>
      <c r="E32" s="58" t="str">
        <f>IF('Exercício - Matriz de avaliação'!E34="","",'Exercício - Matriz de avaliação'!E34)</f>
        <v>Governo do Estado de Pernambuco – Secretaria de Desenvolvimento Econômico (SEDEPE)</v>
      </c>
      <c r="F32" s="58" t="str">
        <f>IF('Exercício - Matriz de avaliação'!F34="","",'Exercício - Matriz de avaliação'!F34)</f>
        <v>10.571.982/0001-25</v>
      </c>
      <c r="G32" s="58" t="str">
        <f>IF('Exercício - Matriz de avaliação'!G34="","",'Exercício - Matriz de avaliação'!G34)</f>
        <v>14/02/1975</v>
      </c>
      <c r="H32" s="57" t="str">
        <f>IF('Exercício - Matriz de avaliação'!M34="","",'Exercício - Matriz de avaliação'!M34)</f>
        <v>Recife</v>
      </c>
      <c r="I32" s="57" t="str">
        <f>IF('Exercício - Matriz de avaliação'!N34="","",'Exercício - Matriz de avaliação'!N34)</f>
        <v>PE</v>
      </c>
      <c r="J32" s="57" t="str">
        <f>IF('Exercício - Matriz de avaliação'!O34="","",'Exercício - Matriz de avaliação'!O34)</f>
        <v>Mata Atlântica, Caatinga</v>
      </c>
      <c r="K32" s="57" t="str">
        <f>IF('Exercício - Matriz de avaliação'!P34="","",'Exercício - Matriz de avaliação'!P34)</f>
        <v>4. Transição Energética</v>
      </c>
      <c r="L32" s="57" t="str">
        <f>IF('Exercício - Matriz de avaliação'!R34="","",'Exercício - Matriz de avaliação'!R34)</f>
        <v>Terciário</v>
      </c>
      <c r="M32" s="57" t="str">
        <f>IF('Exercício - Matriz de avaliação'!S34="","",'Exercício - Matriz de avaliação'!S34)</f>
        <v>Órgão Público do Poder Executivo Estadual</v>
      </c>
      <c r="N32" s="57" t="str">
        <f>IF('Exercício - Matriz de avaliação'!L34="","",'Exercício - Matriz de avaliação'!L34)</f>
        <v>Lucas</v>
      </c>
      <c r="O32" s="59">
        <f>IF('Exercício - Matriz de avaliação'!J34="","",'Exercício - Matriz de avaliação'!J34)</f>
        <v>-8.0476</v>
      </c>
      <c r="P32" s="59">
        <f>IF('Exercício - Matriz de avaliação'!K34="","",'Exercício - Matriz de avaliação'!K34)</f>
        <v>-34.877</v>
      </c>
      <c r="Q32" s="57">
        <f>IF('Exercício - Matriz de avaliação'!AE34="","",'Exercício - Matriz de avaliação'!AE34)</f>
        <v>0</v>
      </c>
    </row>
    <row r="33" ht="15.75" customHeight="1">
      <c r="A33" s="57">
        <f>IF('Exercício - Matriz de avaliação'!A35="","",'Exercício - Matriz de avaliação'!A35)</f>
        <v>32</v>
      </c>
      <c r="B33" s="57" t="str">
        <f>IF('Exercício - Matriz de avaliação'!B35="","",'Exercício - Matriz de avaliação'!B35)</f>
        <v>Programa Sertão Vivo (NE) – Resiliência climática, produção rural sustentável e uso produtivo da energia em territórios semiáridos</v>
      </c>
      <c r="C33" s="57" t="str">
        <f>IF('Exercício - Matriz de avaliação'!C35="","",'Exercício - Matriz de avaliação'!C35)</f>
        <v>Garantir a resiliência climática e autonomia produtiva no Semiárido, integrando o uso produtivo da energia solar fotovoltaica (principalmente em sistemas de bombeamento) à infraestrutura hídrica e à agroecologia. A iniciativa visa substituir motores a diesel para reduzir custos e mitigar GEE, garantindo o suprimento seguro de água e energia para a produção familiar (irrigação, resfriamento), o que fortalece a segurança alimentar e a justiça socioambiental.</v>
      </c>
      <c r="D33" s="57" t="str">
        <f>IF('Exercício - Matriz de avaliação'!D35="","",'Exercício - Matriz de avaliação'!D35)</f>
        <v>Resiliência climática; sustentabilidade produtiva no Semiárido; integração de tecnologias sociais; infraestrutura hídrica; uso produtivo da energia solar.</v>
      </c>
      <c r="E33" s="58" t="str">
        <f>IF('Exercício - Matriz de avaliação'!E35="","",'Exercício - Matriz de avaliação'!E35)</f>
        <v>Governo Federal – Ministério do Desenvolvimento Agrário e Agricultura Familiar (MDA), com apoio do FIDA</v>
      </c>
      <c r="F33" s="58" t="str">
        <f>IF('Exercício - Matriz de avaliação'!F35="","",'Exercício - Matriz de avaliação'!F35)</f>
        <v>01.612.452/0001-97</v>
      </c>
      <c r="G33" s="58" t="str">
        <f>IF('Exercício - Matriz de avaliação'!G35="","",'Exercício - Matriz de avaliação'!G35)</f>
        <v>08/01/1997</v>
      </c>
      <c r="H33" s="57" t="str">
        <f>IF('Exercício - Matriz de avaliação'!M35="","",'Exercício - Matriz de avaliação'!M35)</f>
        <v>Brasília</v>
      </c>
      <c r="I33" s="57" t="str">
        <f>IF('Exercício - Matriz de avaliação'!N35="","",'Exercício - Matriz de avaliação'!N35)</f>
        <v>BA, PE, CE, RN, AL, PI, PB, SE</v>
      </c>
      <c r="J33" s="57" t="str">
        <f>IF('Exercício - Matriz de avaliação'!O35="","",'Exercício - Matriz de avaliação'!O35)</f>
        <v>Cerrado, Caatinga</v>
      </c>
      <c r="K33" s="57" t="str">
        <f>IF('Exercício - Matriz de avaliação'!P35="","",'Exercício - Matriz de avaliação'!P35)</f>
        <v>4. Transição Energética</v>
      </c>
      <c r="L33" s="57" t="str">
        <f>IF('Exercício - Matriz de avaliação'!R35="","",'Exercício - Matriz de avaliação'!R35)</f>
        <v>Terciário</v>
      </c>
      <c r="M33" s="57" t="str">
        <f>IF('Exercício - Matriz de avaliação'!S35="","",'Exercício - Matriz de avaliação'!S35)</f>
        <v>Órgão Público do Poder Executivo Federal</v>
      </c>
      <c r="N33" s="57" t="str">
        <f>IF('Exercício - Matriz de avaliação'!L35="","",'Exercício - Matriz de avaliação'!L35)</f>
        <v>Lucas</v>
      </c>
      <c r="O33" s="59">
        <f>IF('Exercício - Matriz de avaliação'!J35="","",'Exercício - Matriz de avaliação'!J35)</f>
        <v>-15.7942</v>
      </c>
      <c r="P33" s="59">
        <f>IF('Exercício - Matriz de avaliação'!K35="","",'Exercício - Matriz de avaliação'!K35)</f>
        <v>-47.8822</v>
      </c>
      <c r="Q33" s="57">
        <f>IF('Exercício - Matriz de avaliação'!AE35="","",'Exercício - Matriz de avaliação'!AE35)</f>
        <v>0</v>
      </c>
    </row>
    <row r="34" ht="15.75" customHeight="1">
      <c r="A34" s="57">
        <f>IF('Exercício - Matriz de avaliação'!A36="","",'Exercício - Matriz de avaliação'!A36)</f>
        <v>33</v>
      </c>
      <c r="B34" s="57" t="str">
        <f>IF('Exercício - Matriz de avaliação'!B36="","",'Exercício - Matriz de avaliação'!B36)</f>
        <v>Crédito de Carbono Integral (CCI-BSHE): Metodologia Brasileira para Certificação em Caatinga</v>
      </c>
      <c r="C34" s="57" t="str">
        <f>IF('Exercício - Matriz de avaliação'!C36="","",'Exercício - Matriz de avaliação'!C36)</f>
        <v>Desenvolver e validar uma metodologia brasileira para certificar a absorção de carbono em vegetação nativa da Caatinga, criando um Mercado de Crédito de Carbono Social que remunera a conservação do bioma e promove a justiça socioambiental para pequenos produtores rurais.</v>
      </c>
      <c r="D34" s="57" t="str">
        <f>IF('Exercício - Matriz de avaliação'!D36="","",'Exercício - Matriz de avaliação'!D36)</f>
        <v>Mercado de carbono social; conservação da Caatinga</v>
      </c>
      <c r="E34" s="58" t="str">
        <f>IF('Exercício - Matriz de avaliação'!E36="","",'Exercício - Matriz de avaliação'!E36)</f>
        <v>Associação dos Produtores de Crédito de Carbono Social do Bioma Caatinga</v>
      </c>
      <c r="F34" s="58" t="str">
        <f>IF('Exercício - Matriz de avaliação'!F36="","",'Exercício - Matriz de avaliação'!F36)</f>
        <v>48.123.437/0001-49</v>
      </c>
      <c r="G34" s="58" t="str">
        <f>IF('Exercício - Matriz de avaliação'!G36="","",'Exercício - Matriz de avaliação'!G36)</f>
        <v>11/08/2022</v>
      </c>
      <c r="H34" s="57" t="str">
        <f>IF('Exercício - Matriz de avaliação'!M36="","",'Exercício - Matriz de avaliação'!M36)</f>
        <v>Delmiro Gouveia</v>
      </c>
      <c r="I34" s="57" t="str">
        <f>IF('Exercício - Matriz de avaliação'!N36="","",'Exercício - Matriz de avaliação'!N36)</f>
        <v>AL</v>
      </c>
      <c r="J34" s="57" t="str">
        <f>IF('Exercício - Matriz de avaliação'!O36="","",'Exercício - Matriz de avaliação'!O36)</f>
        <v>Caatinga</v>
      </c>
      <c r="K34" s="57" t="str">
        <f>IF('Exercício - Matriz de avaliação'!P36="","",'Exercício - Matriz de avaliação'!P36)</f>
        <v>4. Transição Energética</v>
      </c>
      <c r="L34" s="57" t="str">
        <f>IF('Exercício - Matriz de avaliação'!R36="","",'Exercício - Matriz de avaliação'!R36)</f>
        <v>Terciário</v>
      </c>
      <c r="M34" s="57" t="str">
        <f>IF('Exercício - Matriz de avaliação'!S36="","",'Exercício - Matriz de avaliação'!S36)</f>
        <v>Associação Privada</v>
      </c>
      <c r="N34" s="57" t="str">
        <f>IF('Exercício - Matriz de avaliação'!L36="","",'Exercício - Matriz de avaliação'!L36)</f>
        <v>Lucas</v>
      </c>
      <c r="O34" s="59">
        <f>IF('Exercício - Matriz de avaliação'!J36="","",'Exercício - Matriz de avaliação'!J36)</f>
        <v>-9.3856</v>
      </c>
      <c r="P34" s="59">
        <f>IF('Exercício - Matriz de avaliação'!K36="","",'Exercício - Matriz de avaliação'!K36)</f>
        <v>-37.9966</v>
      </c>
      <c r="Q34" s="57">
        <f>IF('Exercício - Matriz de avaliação'!AE36="","",'Exercício - Matriz de avaliação'!AE36)</f>
        <v>0</v>
      </c>
    </row>
    <row r="35" ht="15.75" customHeight="1">
      <c r="A35" s="57">
        <f>IF('Exercício - Matriz de avaliação'!A37="","",'Exercício - Matriz de avaliação'!A37)</f>
        <v>34</v>
      </c>
      <c r="B35" s="57" t="str">
        <f>IF('Exercício - Matriz de avaliação'!B37="","",'Exercício - Matriz de avaliação'!B37)</f>
        <v>Programa Município Selo Verde (CE)</v>
      </c>
      <c r="C35" s="57" t="str">
        <f>IF('Exercício - Matriz de avaliação'!C37="","",'Exercício - Matriz de avaliação'!C37)</f>
        <v>Certificação ambiental pública que reconhece e valoriza os municípios que adotam políticas e práticas efetivas de conservação ambiental e uso sustentável dos recursos naturais, promovendo a melhoria contínua da gestão ambiental local.</v>
      </c>
      <c r="D35" s="57" t="str">
        <f>IF('Exercício - Matriz de avaliação'!D37="","",'Exercício - Matriz de avaliação'!D37)</f>
        <v>Governança Ambiental; Indicadores de Sustentabilidade Ambiental</v>
      </c>
      <c r="E35" s="58" t="str">
        <f>IF('Exercício - Matriz de avaliação'!E37="","",'Exercício - Matriz de avaliação'!E37)</f>
        <v>Governo do Estado do Ceará – Secretaria do Meio Ambiente (Programa Município Selo Verde)</v>
      </c>
      <c r="F35" s="58" t="str">
        <f>IF('Exercício - Matriz de avaliação'!F37="","",'Exercício - Matriz de avaliação'!F37)</f>
        <v>22.156.351/0001-29</v>
      </c>
      <c r="G35" s="57" t="str">
        <f>IF('Exercício - Matriz de avaliação'!G37="","",'Exercício - Matriz de avaliação'!G37)</f>
        <v/>
      </c>
      <c r="H35" s="57" t="str">
        <f>IF('Exercício - Matriz de avaliação'!M37="","",'Exercício - Matriz de avaliação'!M37)</f>
        <v>Fortaleza</v>
      </c>
      <c r="I35" s="57" t="str">
        <f>IF('Exercício - Matriz de avaliação'!N37="","",'Exercício - Matriz de avaliação'!N37)</f>
        <v>CE</v>
      </c>
      <c r="J35" s="57" t="str">
        <f>IF('Exercício - Matriz de avaliação'!O37="","",'Exercício - Matriz de avaliação'!O37)</f>
        <v>Mata Atlântica, Caatinga, Cerrado</v>
      </c>
      <c r="K35" s="57" t="str">
        <f>IF('Exercício - Matriz de avaliação'!P37="","",'Exercício - Matriz de avaliação'!P37)</f>
        <v>5. Economia Circular e Solidária</v>
      </c>
      <c r="L35" s="57" t="str">
        <f>IF('Exercício - Matriz de avaliação'!R37="","",'Exercício - Matriz de avaliação'!R37)</f>
        <v>Terciário</v>
      </c>
      <c r="M35" s="57" t="str">
        <f>IF('Exercício - Matriz de avaliação'!S37="","",'Exercício - Matriz de avaliação'!S37)</f>
        <v>Órgão Público do Poder Executivo Estadual</v>
      </c>
      <c r="N35" s="57" t="str">
        <f>IF('Exercício - Matriz de avaliação'!L37="","",'Exercício - Matriz de avaliação'!L37)</f>
        <v>Leide</v>
      </c>
      <c r="O35" s="59">
        <f>IF('Exercício - Matriz de avaliação'!J37="","",'Exercício - Matriz de avaliação'!J37)</f>
        <v>-3.7319</v>
      </c>
      <c r="P35" s="59">
        <f>IF('Exercício - Matriz de avaliação'!K37="","",'Exercício - Matriz de avaliação'!K37)</f>
        <v>-38.5267</v>
      </c>
      <c r="Q35" s="57">
        <f>IF('Exercício - Matriz de avaliação'!AE37="","",'Exercício - Matriz de avaliação'!AE37)</f>
        <v>0</v>
      </c>
    </row>
    <row r="36" ht="15.75" customHeight="1">
      <c r="A36" s="57">
        <f>IF('Exercício - Matriz de avaliação'!A38="","",'Exercício - Matriz de avaliação'!A38)</f>
        <v>35</v>
      </c>
      <c r="B36" s="57" t="str">
        <f>IF('Exercício - Matriz de avaliação'!B38="","",'Exercício - Matriz de avaliação'!B38)</f>
        <v>Projeto Bahia Solidária</v>
      </c>
      <c r="C36" s="57" t="str">
        <f>IF('Exercício - Matriz de avaliação'!C38="","",'Exercício - Matriz de avaliação'!C38)</f>
        <v>O programa busca articular políticas públicas de inclusão produtiva, inovação social e valorização de empreendimentos econômicos solidários (EES), especialmente de base comunitária e cooperativa de territórios de identidade da Bahia.
</v>
      </c>
      <c r="D36" s="57" t="str">
        <f>IF('Exercício - Matriz de avaliação'!D38="","",'Exercício - Matriz de avaliação'!D38)</f>
        <v>Economia Solidária; Microcrédito, Assistência técnica,Compras Públicas Sustentáveis</v>
      </c>
      <c r="E36" s="58" t="str">
        <f>IF('Exercício - Matriz de avaliação'!E38="","",'Exercício - Matriz de avaliação'!E38)</f>
        <v>Governo do Estado da Bahia – Secretaria de Justiça, Direitos Humanos e Desenvolvimento Social (Bahia Solidária)</v>
      </c>
      <c r="F36" s="58" t="str">
        <f>IF('Exercício - Matriz de avaliação'!F38="","",'Exercício - Matriz de avaliação'!F38)</f>
        <v>21.730.529/0001-30</v>
      </c>
      <c r="G36" s="58" t="str">
        <f>IF('Exercício - Matriz de avaliação'!G38="","",'Exercício - Matriz de avaliação'!G38)</f>
        <v>01/01/2015</v>
      </c>
      <c r="H36" s="57" t="str">
        <f>IF('Exercício - Matriz de avaliação'!M38="","",'Exercício - Matriz de avaliação'!M38)</f>
        <v>Salvador</v>
      </c>
      <c r="I36" s="57" t="str">
        <f>IF('Exercício - Matriz de avaliação'!N38="","",'Exercício - Matriz de avaliação'!N38)</f>
        <v>BA</v>
      </c>
      <c r="J36" s="57" t="str">
        <f>IF('Exercício - Matriz de avaliação'!O38="","",'Exercício - Matriz de avaliação'!O38)</f>
        <v>Mata Atlântica, Caatinga, Cerrado</v>
      </c>
      <c r="K36" s="57" t="str">
        <f>IF('Exercício - Matriz de avaliação'!P38="","",'Exercício - Matriz de avaliação'!P38)</f>
        <v>5. Economia Circular e Solidária</v>
      </c>
      <c r="L36" s="57" t="str">
        <f>IF('Exercício - Matriz de avaliação'!R38="","",'Exercício - Matriz de avaliação'!R38)</f>
        <v>Terciário</v>
      </c>
      <c r="M36" s="57" t="str">
        <f>IF('Exercício - Matriz de avaliação'!S38="","",'Exercício - Matriz de avaliação'!S38)</f>
        <v>Órgão Público do Poder Executivo Estadual</v>
      </c>
      <c r="N36" s="57" t="str">
        <f>IF('Exercício - Matriz de avaliação'!L38="","",'Exercício - Matriz de avaliação'!L38)</f>
        <v>Leide</v>
      </c>
      <c r="O36" s="59">
        <f>IF('Exercício - Matriz de avaliação'!J38="","",'Exercício - Matriz de avaliação'!J38)</f>
        <v>-12.9777</v>
      </c>
      <c r="P36" s="59">
        <f>IF('Exercício - Matriz de avaliação'!K38="","",'Exercício - Matriz de avaliação'!K38)</f>
        <v>-38.5016</v>
      </c>
      <c r="Q36" s="57">
        <f>IF('Exercício - Matriz de avaliação'!AE38="","",'Exercício - Matriz de avaliação'!AE38)</f>
        <v>0</v>
      </c>
    </row>
    <row r="37" ht="15.75" customHeight="1">
      <c r="A37" s="57">
        <f>IF('Exercício - Matriz de avaliação'!A39="","",'Exercício - Matriz de avaliação'!A39)</f>
        <v>36</v>
      </c>
      <c r="B37" s="57" t="str">
        <f>IF('Exercício - Matriz de avaliação'!B39="","",'Exercício - Matriz de avaliação'!B39)</f>
        <v>Solos</v>
      </c>
      <c r="C37" s="57" t="str">
        <f>IF('Exercício - Matriz de avaliação'!C39="","",'Exercício - Matriz de avaliação'!C39)</f>
        <v>A Solos é uma startup que desenvolve soluções integradas para estimular o descarte correto, fortalecer cooperativas e aprimorar a logística reversa.</v>
      </c>
      <c r="D37" s="57" t="str">
        <f>IF('Exercício - Matriz de avaliação'!D39="","",'Exercício - Matriz de avaliação'!D39)</f>
        <v>Logística reversa; Educação ambiental; Inclusão produtiva</v>
      </c>
      <c r="E37" s="58" t="str">
        <f>IF('Exercício - Matriz de avaliação'!E39="","",'Exercício - Matriz de avaliação'!E39)</f>
        <v>SOLOS (startup de economia circular)</v>
      </c>
      <c r="F37" s="58" t="str">
        <f>IF('Exercício - Matriz de avaliação'!F39="","",'Exercício - Matriz de avaliação'!F39)</f>
        <v>29.569.087/0001-02</v>
      </c>
      <c r="G37" s="58" t="str">
        <f>IF('Exercício - Matriz de avaliação'!G39="","",'Exercício - Matriz de avaliação'!G39)</f>
        <v>30/01/2018</v>
      </c>
      <c r="H37" s="57" t="str">
        <f>IF('Exercício - Matriz de avaliação'!M39="","",'Exercício - Matriz de avaliação'!M39)</f>
        <v>Salvador</v>
      </c>
      <c r="I37" s="57" t="str">
        <f>IF('Exercício - Matriz de avaliação'!N39="","",'Exercício - Matriz de avaliação'!N39)</f>
        <v>BA</v>
      </c>
      <c r="J37" s="57" t="str">
        <f>IF('Exercício - Matriz de avaliação'!O39="","",'Exercício - Matriz de avaliação'!O39)</f>
        <v>Mata Atlântica</v>
      </c>
      <c r="K37" s="57" t="str">
        <f>IF('Exercício - Matriz de avaliação'!P39="","",'Exercício - Matriz de avaliação'!P39)</f>
        <v>5. Economia Circular e Solidária</v>
      </c>
      <c r="L37" s="57" t="str">
        <f>IF('Exercício - Matriz de avaliação'!R39="","",'Exercício - Matriz de avaliação'!R39)</f>
        <v>Terciário</v>
      </c>
      <c r="M37" s="57" t="str">
        <f>IF('Exercício - Matriz de avaliação'!S39="","",'Exercício - Matriz de avaliação'!S39)</f>
        <v>Sociedade Empresária Limitada</v>
      </c>
      <c r="N37" s="57" t="str">
        <f>IF('Exercício - Matriz de avaliação'!L39="","",'Exercício - Matriz de avaliação'!L39)</f>
        <v>Leide</v>
      </c>
      <c r="O37" s="59">
        <f>IF('Exercício - Matriz de avaliação'!J39="","",'Exercício - Matriz de avaliação'!J39)</f>
        <v>-12.9777</v>
      </c>
      <c r="P37" s="59">
        <f>IF('Exercício - Matriz de avaliação'!K39="","",'Exercício - Matriz de avaliação'!K39)</f>
        <v>-38.5016</v>
      </c>
      <c r="Q37" s="57">
        <f>IF('Exercício - Matriz de avaliação'!AE39="","",'Exercício - Matriz de avaliação'!AE39)</f>
        <v>0</v>
      </c>
    </row>
    <row r="38" ht="15.75" customHeight="1">
      <c r="A38" s="57">
        <f>IF('Exercício - Matriz de avaliação'!A40="","",'Exercício - Matriz de avaliação'!A40)</f>
        <v>37</v>
      </c>
      <c r="B38" s="57" t="str">
        <f>IF('Exercício - Matriz de avaliação'!B40="","",'Exercício - Matriz de avaliação'!B40)</f>
        <v>Programa Alagoas Catador</v>
      </c>
      <c r="C38" s="57" t="str">
        <f>IF('Exercício - Matriz de avaliação'!C40="","",'Exercício - Matriz de avaliação'!C40)</f>
        <v>O programa estimula a expansão da coleta seletiva, o reaproveitamento e a reciclagem de resíduos sólidos, e a valorização do trabalho dos catadores como agentes fundamentais da gestão de resíduos.</v>
      </c>
      <c r="D38" s="57" t="str">
        <f>IF('Exercício - Matriz de avaliação'!D40="","",'Exercício - Matriz de avaliação'!D40)</f>
        <v>Valorização dos catadores/as; capacitação; coleta seletiva; Inclusão produtiva</v>
      </c>
      <c r="E38" s="58" t="str">
        <f>IF('Exercício - Matriz de avaliação'!E40="","",'Exercício - Matriz de avaliação'!E40)</f>
        <v>Governo do Estado de Alagoas (Programa Alagoas Catador)</v>
      </c>
      <c r="F38" s="58" t="str">
        <f>IF('Exercício - Matriz de avaliação'!F40="","",'Exercício - Matriz de avaliação'!F40)</f>
        <v>03.626.198/0001-01</v>
      </c>
      <c r="G38" s="58" t="str">
        <f>IF('Exercício - Matriz de avaliação'!G40="","",'Exercício - Matriz de avaliação'!G40)</f>
        <v>27/12/1999</v>
      </c>
      <c r="H38" s="57" t="str">
        <f>IF('Exercício - Matriz de avaliação'!M40="","",'Exercício - Matriz de avaliação'!M40)</f>
        <v>Maceió</v>
      </c>
      <c r="I38" s="57" t="str">
        <f>IF('Exercício - Matriz de avaliação'!N40="","",'Exercício - Matriz de avaliação'!N40)</f>
        <v>AL</v>
      </c>
      <c r="J38" s="57" t="str">
        <f>IF('Exercício - Matriz de avaliação'!O40="","",'Exercício - Matriz de avaliação'!O40)</f>
        <v>Mata Atlântica, Cerrado, Caatinga</v>
      </c>
      <c r="K38" s="57" t="str">
        <f>IF('Exercício - Matriz de avaliação'!P40="","",'Exercício - Matriz de avaliação'!P40)</f>
        <v>5. Economia Circular e Solidária</v>
      </c>
      <c r="L38" s="57" t="str">
        <f>IF('Exercício - Matriz de avaliação'!R40="","",'Exercício - Matriz de avaliação'!R40)</f>
        <v>Terciário</v>
      </c>
      <c r="M38" s="57" t="str">
        <f>IF('Exercício - Matriz de avaliação'!S40="","",'Exercício - Matriz de avaliação'!S40)</f>
        <v>Órgão Público do Poder Executivo Estadual</v>
      </c>
      <c r="N38" s="57" t="str">
        <f>IF('Exercício - Matriz de avaliação'!L40="","",'Exercício - Matriz de avaliação'!L40)</f>
        <v>Leide</v>
      </c>
      <c r="O38" s="59">
        <f>IF('Exercício - Matriz de avaliação'!J40="","",'Exercício - Matriz de avaliação'!J40)</f>
        <v>-9.6498</v>
      </c>
      <c r="P38" s="59">
        <f>IF('Exercício - Matriz de avaliação'!K40="","",'Exercício - Matriz de avaliação'!K40)</f>
        <v>-35.7089</v>
      </c>
      <c r="Q38" s="57">
        <f>IF('Exercício - Matriz de avaliação'!AE40="","",'Exercício - Matriz de avaliação'!AE40)</f>
        <v>0</v>
      </c>
    </row>
    <row r="39" ht="15.75" customHeight="1">
      <c r="A39" s="57">
        <f>IF('Exercício - Matriz de avaliação'!A41="","",'Exercício - Matriz de avaliação'!A41)</f>
        <v>38</v>
      </c>
      <c r="B39" s="57" t="str">
        <f>IF('Exercício - Matriz de avaliação'!B41="","",'Exercício - Matriz de avaliação'!B41)</f>
        <v>Modelo de Gestão Municipal de Resíduos Sólidos de Arez (RN)</v>
      </c>
      <c r="C39" s="57" t="str">
        <f>IF('Exercício - Matriz de avaliação'!C41="","",'Exercício - Matriz de avaliação'!C41)</f>
        <v>Desativação de lixão com implantação de sistemas integrados de gestão de resíduos com suporte técnico e financeiro, articulando redução de impactos ambientais, eficiência no manejo e promoção de soluções circulares.</v>
      </c>
      <c r="D39" s="57" t="str">
        <f>IF('Exercício - Matriz de avaliação'!D41="","",'Exercício - Matriz de avaliação'!D41)</f>
        <v>Capacitar Catadores/as; Centros de Triagem; Cadeia local de reciclagem;</v>
      </c>
      <c r="E39" s="58" t="str">
        <f>IF('Exercício - Matriz de avaliação'!E41="","",'Exercício - Matriz de avaliação'!E41)</f>
        <v>Prefeitura Municipal de Arês (RN)</v>
      </c>
      <c r="F39" s="58" t="str">
        <f>IF('Exercício - Matriz de avaliação'!F41="","",'Exercício - Matriz de avaliação'!F41)</f>
        <v>08.161.234/0001-22</v>
      </c>
      <c r="G39" s="58" t="str">
        <f>IF('Exercício - Matriz de avaliação'!G41="","",'Exercício - Matriz de avaliação'!G41)</f>
        <v>24/01/1975</v>
      </c>
      <c r="H39" s="57" t="str">
        <f>IF('Exercício - Matriz de avaliação'!M41="","",'Exercício - Matriz de avaliação'!M41)</f>
        <v>Arês</v>
      </c>
      <c r="I39" s="57" t="str">
        <f>IF('Exercício - Matriz de avaliação'!N41="","",'Exercício - Matriz de avaliação'!N41)</f>
        <v>RN</v>
      </c>
      <c r="J39" s="57" t="str">
        <f>IF('Exercício - Matriz de avaliação'!O41="","",'Exercício - Matriz de avaliação'!O41)</f>
        <v>Caatinga</v>
      </c>
      <c r="K39" s="57" t="str">
        <f>IF('Exercício - Matriz de avaliação'!P41="","",'Exercício - Matriz de avaliação'!P41)</f>
        <v>5. Economia Circular e Solidária</v>
      </c>
      <c r="L39" s="57" t="str">
        <f>IF('Exercício - Matriz de avaliação'!R41="","",'Exercício - Matriz de avaliação'!R41)</f>
        <v>Terciário</v>
      </c>
      <c r="M39" s="57" t="str">
        <f>IF('Exercício - Matriz de avaliação'!S41="","",'Exercício - Matriz de avaliação'!S41)</f>
        <v>Órgão Público do Poder Executivo Municipal</v>
      </c>
      <c r="N39" s="57" t="str">
        <f>IF('Exercício - Matriz de avaliação'!L41="","",'Exercício - Matriz de avaliação'!L41)</f>
        <v>Leide</v>
      </c>
      <c r="O39" s="59">
        <f>IF('Exercício - Matriz de avaliação'!J41="","",'Exercício - Matriz de avaliação'!J41)</f>
        <v>-6.1947</v>
      </c>
      <c r="P39" s="59">
        <f>IF('Exercício - Matriz de avaliação'!K41="","",'Exercício - Matriz de avaliação'!K41)</f>
        <v>-35.1583</v>
      </c>
      <c r="Q39" s="57">
        <f>IF('Exercício - Matriz de avaliação'!AE41="","",'Exercício - Matriz de avaliação'!AE41)</f>
        <v>0</v>
      </c>
    </row>
    <row r="40" ht="15.75" customHeight="1">
      <c r="A40" s="57">
        <f>IF('Exercício - Matriz de avaliação'!A42="","",'Exercício - Matriz de avaliação'!A42)</f>
        <v>39</v>
      </c>
      <c r="B40" s="57" t="str">
        <f>IF('Exercício - Matriz de avaliação'!B42="","",'Exercício - Matriz de avaliação'!B42)</f>
        <v>Rede Recicla Bahia</v>
      </c>
      <c r="C40" s="57" t="str">
        <f>IF('Exercício - Matriz de avaliação'!C42="","",'Exercício - Matriz de avaliação'!C42)</f>
        <v>Rede que oferece suporte técnico e administrativo às cooperativas, promove capacitações, apoia a digitalização da gestão (com emissão de notas fiscais e manifestos de transporte) e atuar junto às prefeituras na elaboração de Planos Municipais de Gestão de Resíduos Sólidos, especialmente em municípios de pequeno e médio porte.</v>
      </c>
      <c r="D40" s="57" t="str">
        <f>IF('Exercício - Matriz de avaliação'!D42="","",'Exercício - Matriz de avaliação'!D42)</f>
        <v>Inclusão social e produtiva dos catadores</v>
      </c>
      <c r="E40" s="58" t="str">
        <f>IF('Exercício - Matriz de avaliação'!E42="","",'Exercício - Matriz de avaliação'!E42)</f>
        <v>Rede Recicla Bahia</v>
      </c>
      <c r="F40" s="58" t="str">
        <f>IF('Exercício - Matriz de avaliação'!F42="","",'Exercício - Matriz de avaliação'!F42)</f>
        <v>27.411.942/0001-19</v>
      </c>
      <c r="G40" s="58" t="str">
        <f>IF('Exercício - Matriz de avaliação'!G42="","",'Exercício - Matriz de avaliação'!G42)</f>
        <v>10/03/2017
</v>
      </c>
      <c r="H40" s="57" t="str">
        <f>IF('Exercício - Matriz de avaliação'!M42="","",'Exercício - Matriz de avaliação'!M42)</f>
        <v>Salvador</v>
      </c>
      <c r="I40" s="57" t="str">
        <f>IF('Exercício - Matriz de avaliação'!N42="","",'Exercício - Matriz de avaliação'!N42)</f>
        <v>BA</v>
      </c>
      <c r="J40" s="57" t="str">
        <f>IF('Exercício - Matriz de avaliação'!O42="","",'Exercício - Matriz de avaliação'!O42)</f>
        <v>Mata Atlântica, Caatinga, Cerrado</v>
      </c>
      <c r="K40" s="57" t="str">
        <f>IF('Exercício - Matriz de avaliação'!P42="","",'Exercício - Matriz de avaliação'!P42)</f>
        <v>5. Economia Circular e Solidária</v>
      </c>
      <c r="L40" s="57" t="str">
        <f>IF('Exercício - Matriz de avaliação'!R42="","",'Exercício - Matriz de avaliação'!R42)</f>
        <v>Terciário</v>
      </c>
      <c r="M40" s="57" t="str">
        <f>IF('Exercício - Matriz de avaliação'!S42="","",'Exercício - Matriz de avaliação'!S42)</f>
        <v>Associação Privada</v>
      </c>
      <c r="N40" s="57" t="str">
        <f>IF('Exercício - Matriz de avaliação'!L42="","",'Exercício - Matriz de avaliação'!L42)</f>
        <v>Leide</v>
      </c>
      <c r="O40" s="59">
        <f>IF('Exercício - Matriz de avaliação'!J42="","",'Exercício - Matriz de avaliação'!J42)</f>
        <v>-12.9777</v>
      </c>
      <c r="P40" s="59">
        <f>IF('Exercício - Matriz de avaliação'!K42="","",'Exercício - Matriz de avaliação'!K42)</f>
        <v>-38.5016</v>
      </c>
      <c r="Q40" s="57">
        <f>IF('Exercício - Matriz de avaliação'!AE42="","",'Exercício - Matriz de avaliação'!AE42)</f>
        <v>0</v>
      </c>
    </row>
    <row r="41" ht="15.75" customHeight="1">
      <c r="A41" s="57">
        <f>IF('Exercício - Matriz de avaliação'!A43="","",'Exercício - Matriz de avaliação'!A43)</f>
        <v>40</v>
      </c>
      <c r="B41" s="57" t="str">
        <f>IF('Exercício - Matriz de avaliação'!B43="","",'Exercício - Matriz de avaliação'!B43)</f>
        <v>Consórcio Público de Manejo de Resíduos Sólidos da Ibiapaba</v>
      </c>
      <c r="C41" s="57" t="str">
        <f>IF('Exercício - Matriz de avaliação'!C43="","",'Exercício - Matriz de avaliação'!C43)</f>
        <v>O CPMRS-RI se destaca por integrar oito municípios em um modelo inovador de gestão consorciada que combina infraestrutura moderna, inclusão de catadores e práticas de economia circular para eliminar lixões e transformar resíduos em desenvolvimento sustentável.</v>
      </c>
      <c r="D41" s="57" t="str">
        <f>IF('Exercício - Matriz de avaliação'!D43="","",'Exercício - Matriz de avaliação'!D43)</f>
        <v>Capacitar Catadores/as; Centros de Triagem; Cadeia local de reciclagem; Economia Solidária</v>
      </c>
      <c r="E41" s="58" t="str">
        <f>IF('Exercício - Matriz de avaliação'!E43="","",'Exercício - Matriz de avaliação'!E43)</f>
        <v>Consórcio Público de Manejo de Resíduos Sólidos da Ibiapaba (CPMRS-RI)</v>
      </c>
      <c r="F41" s="58" t="str">
        <f>IF('Exercício - Matriz de avaliação'!F43="","",'Exercício - Matriz de avaliação'!F43)</f>
        <v>44.678.797/0001-56</v>
      </c>
      <c r="G41" s="58" t="str">
        <f>IF('Exercício - Matriz de avaliação'!G43="","",'Exercício - Matriz de avaliação'!G43)</f>
        <v>24/06/2020</v>
      </c>
      <c r="H41" s="57" t="str">
        <f>IF('Exercício - Matriz de avaliação'!M43="","",'Exercício - Matriz de avaliação'!M43)</f>
        <v>Tianguá</v>
      </c>
      <c r="I41" s="57" t="str">
        <f>IF('Exercício - Matriz de avaliação'!N43="","",'Exercício - Matriz de avaliação'!N43)</f>
        <v>CE</v>
      </c>
      <c r="J41" s="57" t="str">
        <f>IF('Exercício - Matriz de avaliação'!O43="","",'Exercício - Matriz de avaliação'!O43)</f>
        <v>Caatinga</v>
      </c>
      <c r="K41" s="57" t="str">
        <f>IF('Exercício - Matriz de avaliação'!P43="","",'Exercício - Matriz de avaliação'!P43)</f>
        <v>5. Economia Circular e Solidária</v>
      </c>
      <c r="L41" s="57" t="str">
        <f>IF('Exercício - Matriz de avaliação'!R43="","",'Exercício - Matriz de avaliação'!R43)</f>
        <v>Terciário</v>
      </c>
      <c r="M41" s="57" t="str">
        <f>IF('Exercício - Matriz de avaliação'!S43="","",'Exercício - Matriz de avaliação'!S43)</f>
        <v>Consórcio Público</v>
      </c>
      <c r="N41" s="57" t="str">
        <f>IF('Exercício - Matriz de avaliação'!L43="","",'Exercício - Matriz de avaliação'!L43)</f>
        <v>Leide</v>
      </c>
      <c r="O41" s="59">
        <f>IF('Exercício - Matriz de avaliação'!J43="","",'Exercício - Matriz de avaliação'!J43)</f>
        <v>-3.7322</v>
      </c>
      <c r="P41" s="59">
        <f>IF('Exercício - Matriz de avaliação'!K43="","",'Exercício - Matriz de avaliação'!K43)</f>
        <v>-40.9919</v>
      </c>
      <c r="Q41" s="57">
        <f>IF('Exercício - Matriz de avaliação'!AE43="","",'Exercício - Matriz de avaliação'!AE43)</f>
        <v>0</v>
      </c>
    </row>
    <row r="42" ht="15.75" customHeight="1">
      <c r="A42" s="57">
        <f>IF('Exercício - Matriz de avaliação'!A44="","",'Exercício - Matriz de avaliação'!A44)</f>
        <v>41</v>
      </c>
      <c r="B42" s="57" t="str">
        <f>IF('Exercício - Matriz de avaliação'!B44="","",'Exercício - Matriz de avaliação'!B44)</f>
        <v>Labifor (Citinova)</v>
      </c>
      <c r="C42" s="57" t="str">
        <f>IF('Exercício - Matriz de avaliação'!C44="","",'Exercício - Matriz de avaliação'!C44)</f>
        <v>Laboratório de Inovação da Prefeitura de Fortaleza que cria soluções criativas e tecnológicas para os desafios urbanos, com ênfase na sustentabilidade e na economia circular, como o Projeto Re-Ciclo, gestão de resíduos orgânicos por meio de biodigestores, criação de microparques urbanos e oficinas de educação ambiental.</v>
      </c>
      <c r="D42" s="57" t="str">
        <f>IF('Exercício - Matriz de avaliação'!D44="","",'Exercício - Matriz de avaliação'!D44)</f>
        <v>Coleta e reaproveitamento de resíduos, inclusão sociprodutiva, Cultura de Sustentabilidade. 
</v>
      </c>
      <c r="E42" s="58" t="str">
        <f>IF('Exercício - Matriz de avaliação'!E44="","",'Exercício - Matriz de avaliação'!E44)</f>
        <v>Prefeitura Municipal de Fortaleza – Citinova (Labifor)</v>
      </c>
      <c r="F42" s="58" t="str">
        <f>IF('Exercício - Matriz de avaliação'!F44="","",'Exercício - Matriz de avaliação'!F44)</f>
        <v>07.954.605/0001-60</v>
      </c>
      <c r="G42" s="58" t="str">
        <f>IF('Exercício - Matriz de avaliação'!G44="","",'Exercício - Matriz de avaliação'!G44)</f>
        <v>30/12/1974</v>
      </c>
      <c r="H42" s="57" t="str">
        <f>IF('Exercício - Matriz de avaliação'!M44="","",'Exercício - Matriz de avaliação'!M44)</f>
        <v>Fortaleza</v>
      </c>
      <c r="I42" s="57" t="str">
        <f>IF('Exercício - Matriz de avaliação'!N44="","",'Exercício - Matriz de avaliação'!N44)</f>
        <v>CE</v>
      </c>
      <c r="J42" s="57" t="str">
        <f>IF('Exercício - Matriz de avaliação'!O44="","",'Exercício - Matriz de avaliação'!O44)</f>
        <v>Mata Atlântica</v>
      </c>
      <c r="K42" s="57" t="str">
        <f>IF('Exercício - Matriz de avaliação'!P44="","",'Exercício - Matriz de avaliação'!P44)</f>
        <v>5. Economia Circular e Solidária</v>
      </c>
      <c r="L42" s="57" t="str">
        <f>IF('Exercício - Matriz de avaliação'!R44="","",'Exercício - Matriz de avaliação'!R44)</f>
        <v>Terciário</v>
      </c>
      <c r="M42" s="57" t="str">
        <f>IF('Exercício - Matriz de avaliação'!S44="","",'Exercício - Matriz de avaliação'!S44)</f>
        <v>Órgão Público do Poder Executivo Municipal</v>
      </c>
      <c r="N42" s="57" t="str">
        <f>IF('Exercício - Matriz de avaliação'!L44="","",'Exercício - Matriz de avaliação'!L44)</f>
        <v>Leide</v>
      </c>
      <c r="O42" s="59">
        <f>IF('Exercício - Matriz de avaliação'!J44="","",'Exercício - Matriz de avaliação'!J44)</f>
        <v>-3.7319</v>
      </c>
      <c r="P42" s="59">
        <f>IF('Exercício - Matriz de avaliação'!K44="","",'Exercício - Matriz de avaliação'!K44)</f>
        <v>-38.5267</v>
      </c>
      <c r="Q42" s="57">
        <f>IF('Exercício - Matriz de avaliação'!AE44="","",'Exercício - Matriz de avaliação'!AE44)</f>
        <v>0</v>
      </c>
    </row>
    <row r="43" ht="15.75" customHeight="1">
      <c r="A43" s="57">
        <f>IF('Exercício - Matriz de avaliação'!A45="","",'Exercício - Matriz de avaliação'!A45)</f>
        <v>42</v>
      </c>
      <c r="B43" s="57" t="str">
        <f>IF('Exercício - Matriz de avaliação'!B45="","",'Exercício - Matriz de avaliação'!B45)</f>
        <v>Programa Fortaleza Cidade Sustentável</v>
      </c>
      <c r="C43" s="57" t="str">
        <f>IF('Exercício - Matriz de avaliação'!C45="","",'Exercício - Matriz de avaliação'!C45)</f>
        <v>Integrar desenvolvimento urbano com sustentabilidade ambiental, promovendo resiliência urbana e uso eficiente de recursos naturais</v>
      </c>
      <c r="D43" s="57" t="str">
        <f>IF('Exercício - Matriz de avaliação'!D45="","",'Exercício - Matriz de avaliação'!D45)</f>
        <v>Infraestrutura urbana sustentável e SBN</v>
      </c>
      <c r="E43" s="58" t="str">
        <f>IF('Exercício - Matriz de avaliação'!E45="","",'Exercício - Matriz de avaliação'!E45)</f>
        <v>Prefeitura Municipal de Fortaleza</v>
      </c>
      <c r="F43" s="58" t="str">
        <f>IF('Exercício - Matriz de avaliação'!F45="","",'Exercício - Matriz de avaliação'!F45)</f>
        <v>07.954.605/0001-60</v>
      </c>
      <c r="G43" s="58" t="str">
        <f>IF('Exercício - Matriz de avaliação'!G45="","",'Exercício - Matriz de avaliação'!G45)</f>
        <v>30/12/1974</v>
      </c>
      <c r="H43" s="57" t="str">
        <f>IF('Exercício - Matriz de avaliação'!M45="","",'Exercício - Matriz de avaliação'!M45)</f>
        <v>Fortaleza</v>
      </c>
      <c r="I43" s="57" t="str">
        <f>IF('Exercício - Matriz de avaliação'!N45="","",'Exercício - Matriz de avaliação'!N45)</f>
        <v>CE</v>
      </c>
      <c r="J43" s="57" t="str">
        <f>IF('Exercício - Matriz de avaliação'!O45="","",'Exercício - Matriz de avaliação'!O45)</f>
        <v>Mata Atlântica</v>
      </c>
      <c r="K43" s="57" t="str">
        <f>IF('Exercício - Matriz de avaliação'!P45="","",'Exercício - Matriz de avaliação'!P45)</f>
        <v>Nova Infraestrutura Verde-Azul e Adaptação Climática</v>
      </c>
      <c r="L43" s="57" t="str">
        <f>IF('Exercício - Matriz de avaliação'!R45="","",'Exercício - Matriz de avaliação'!R45)</f>
        <v>Terciário</v>
      </c>
      <c r="M43" s="57" t="str">
        <f>IF('Exercício - Matriz de avaliação'!S45="","",'Exercício - Matriz de avaliação'!S45)</f>
        <v>Órgão Público do Poder Executivo Municipal</v>
      </c>
      <c r="N43" s="57" t="str">
        <f>IF('Exercício - Matriz de avaliação'!L45="","",'Exercício - Matriz de avaliação'!L45)</f>
        <v>Leide</v>
      </c>
      <c r="O43" s="59">
        <f>IF('Exercício - Matriz de avaliação'!J45="","",'Exercício - Matriz de avaliação'!J45)</f>
        <v>-3.7319</v>
      </c>
      <c r="P43" s="59">
        <f>IF('Exercício - Matriz de avaliação'!K45="","",'Exercício - Matriz de avaliação'!K45)</f>
        <v>-38.5267</v>
      </c>
      <c r="Q43" s="57">
        <f>IF('Exercício - Matriz de avaliação'!AE45="","",'Exercício - Matriz de avaliação'!AE45)</f>
        <v>0</v>
      </c>
    </row>
    <row r="44" ht="15.75" customHeight="1">
      <c r="A44" s="57">
        <f>IF('Exercício - Matriz de avaliação'!A46="","",'Exercício - Matriz de avaliação'!A46)</f>
        <v>43</v>
      </c>
      <c r="B44" s="57" t="str">
        <f>IF('Exercício - Matriz de avaliação'!B46="","",'Exercício - Matriz de avaliação'!B46)</f>
        <v>Programas complementares de captação de água da ASA</v>
      </c>
      <c r="C44" s="57" t="str">
        <f>IF('Exercício - Matriz de avaliação'!C46="","",'Exercício - Matriz de avaliação'!C46)</f>
        <v>Garantir acesso à água para consumo humano, produção de alimentos e educação no Semiárido</v>
      </c>
      <c r="D44" s="57" t="str">
        <f>IF('Exercício - Matriz de avaliação'!D46="","",'Exercício - Matriz de avaliação'!D46)</f>
        <v>Segurança hídrica e convivência com o semiárido</v>
      </c>
      <c r="E44" s="58" t="str">
        <f>IF('Exercício - Matriz de avaliação'!E46="","",'Exercício - Matriz de avaliação'!E46)</f>
        <v>ASA – Articulação Semiárido Brasileiro</v>
      </c>
      <c r="F44" s="58" t="str">
        <f>IF('Exercício - Matriz de avaliação'!F46="","",'Exercício - Matriz de avaliação'!F46)</f>
        <v>05.080.329/0001-23</v>
      </c>
      <c r="G44" s="58" t="str">
        <f>IF('Exercício - Matriz de avaliação'!G46="","",'Exercício - Matriz de avaliação'!G46)</f>
        <v>04/06/2002</v>
      </c>
      <c r="H44" s="57" t="str">
        <f>IF('Exercício - Matriz de avaliação'!M46="","",'Exercício - Matriz de avaliação'!M46)</f>
        <v>Recife</v>
      </c>
      <c r="I44" s="57" t="str">
        <f>IF('Exercício - Matriz de avaliação'!N46="","",'Exercício - Matriz de avaliação'!N46)</f>
        <v>PE, CE, BA, RN, AL, PI, MA, PB, SE</v>
      </c>
      <c r="J44" s="57" t="str">
        <f>IF('Exercício - Matriz de avaliação'!O46="","",'Exercício - Matriz de avaliação'!O46)</f>
        <v>Caatinga</v>
      </c>
      <c r="K44" s="57" t="str">
        <f>IF('Exercício - Matriz de avaliação'!P46="","",'Exercício - Matriz de avaliação'!P46)</f>
        <v>Nova Infraestrutura Verde-Azul e Adaptação Climática</v>
      </c>
      <c r="L44" s="57" t="str">
        <f>IF('Exercício - Matriz de avaliação'!R46="","",'Exercício - Matriz de avaliação'!R46)</f>
        <v>Terciário</v>
      </c>
      <c r="M44" s="57" t="str">
        <f>IF('Exercício - Matriz de avaliação'!S46="","",'Exercício - Matriz de avaliação'!S46)</f>
        <v>Associação Privada</v>
      </c>
      <c r="N44" s="57" t="str">
        <f>IF('Exercício - Matriz de avaliação'!L46="","",'Exercício - Matriz de avaliação'!L46)</f>
        <v>Leide</v>
      </c>
      <c r="O44" s="59">
        <f>IF('Exercício - Matriz de avaliação'!J46="","",'Exercício - Matriz de avaliação'!J46)</f>
        <v>-8.0476</v>
      </c>
      <c r="P44" s="59">
        <f>IF('Exercício - Matriz de avaliação'!K46="","",'Exercício - Matriz de avaliação'!K46)</f>
        <v>-34.877</v>
      </c>
      <c r="Q44" s="57">
        <f>IF('Exercício - Matriz de avaliação'!AE46="","",'Exercício - Matriz de avaliação'!AE46)</f>
        <v>0</v>
      </c>
    </row>
    <row r="45" ht="15.75" customHeight="1">
      <c r="A45" s="57">
        <f>IF('Exercício - Matriz de avaliação'!A47="","",'Exercício - Matriz de avaliação'!A47)</f>
        <v>44</v>
      </c>
      <c r="B45" s="57" t="str">
        <f>IF('Exercício - Matriz de avaliação'!B47="","",'Exercício - Matriz de avaliação'!B47)</f>
        <v>Projeto Tecnologia SARA</v>
      </c>
      <c r="C45" s="57" t="str">
        <f>IF('Exercício - Matriz de avaliação'!C47="","",'Exercício - Matriz de avaliação'!C47)</f>
        <v>Promover saneamento rural e segurança hídrica através de tratamento de esgoto e reúso agrícola</v>
      </c>
      <c r="D45" s="57" t="str">
        <f>IF('Exercício - Matriz de avaliação'!D47="","",'Exercício - Matriz de avaliação'!D47)</f>
        <v>Saneamento rural e reúso de água</v>
      </c>
      <c r="E45" s="58" t="str">
        <f>IF('Exercício - Matriz de avaliação'!E47="","",'Exercício - Matriz de avaliação'!E47)</f>
        <v>Projeto Tecnologia SARA (organização executora a confirmar)</v>
      </c>
      <c r="F45" s="58" t="str">
        <f>IF('Exercício - Matriz de avaliação'!F47="","",'Exercício - Matriz de avaliação'!F47)</f>
        <v>01.263.896/0019-93</v>
      </c>
      <c r="G45" s="58" t="str">
        <f>IF('Exercício - Matriz de avaliação'!G47="","",'Exercício - Matriz de avaliação'!G47)</f>
        <v>14/04/2004
</v>
      </c>
      <c r="H45" s="57" t="str">
        <f>IF('Exercício - Matriz de avaliação'!M47="","",'Exercício - Matriz de avaliação'!M47)</f>
        <v>Campina Grande</v>
      </c>
      <c r="I45" s="57" t="str">
        <f>IF('Exercício - Matriz de avaliação'!N47="","",'Exercício - Matriz de avaliação'!N47)</f>
        <v>PE, CE, BA, RN, AL, PI, MA, PB, SE</v>
      </c>
      <c r="J45" s="57" t="str">
        <f>IF('Exercício - Matriz de avaliação'!O47="","",'Exercício - Matriz de avaliação'!O47)</f>
        <v>Caatinga</v>
      </c>
      <c r="K45" s="57" t="str">
        <f>IF('Exercício - Matriz de avaliação'!P47="","",'Exercício - Matriz de avaliação'!P47)</f>
        <v>Nova Infraestrutura Verde-Azul e Adaptação Climática</v>
      </c>
      <c r="L45" s="57" t="str">
        <f>IF('Exercício - Matriz de avaliação'!R47="","",'Exercício - Matriz de avaliação'!R47)</f>
        <v>Terciário</v>
      </c>
      <c r="M45" s="57" t="str">
        <f>IF('Exercício - Matriz de avaliação'!S47="","",'Exercício - Matriz de avaliação'!S47)</f>
        <v>Órgão Público do Poder Executivo Federal</v>
      </c>
      <c r="N45" s="57" t="str">
        <f>IF('Exercício - Matriz de avaliação'!L47="","",'Exercício - Matriz de avaliação'!L47)</f>
        <v>Leide</v>
      </c>
      <c r="O45" s="59">
        <f>IF('Exercício - Matriz de avaliação'!J47="","",'Exercício - Matriz de avaliação'!J47)</f>
        <v>-7.2306</v>
      </c>
      <c r="P45" s="59">
        <f>IF('Exercício - Matriz de avaliação'!K47="","",'Exercício - Matriz de avaliação'!K47)</f>
        <v>-35.8811</v>
      </c>
      <c r="Q45" s="57">
        <f>IF('Exercício - Matriz de avaliação'!AE47="","",'Exercício - Matriz de avaliação'!AE47)</f>
        <v>0</v>
      </c>
    </row>
    <row r="46" ht="15.75" customHeight="1">
      <c r="A46" s="57">
        <f>IF('Exercício - Matriz de avaliação'!A48="","",'Exercício - Matriz de avaliação'!A48)</f>
        <v>45</v>
      </c>
      <c r="B46" s="57" t="str">
        <f>IF('Exercício - Matriz de avaliação'!B48="","",'Exercício - Matriz de avaliação'!B48)</f>
        <v>Zoneamento Ecológico-Econômico da Zona Costeira no Ceará</v>
      </c>
      <c r="C46" s="57" t="str">
        <f>IF('Exercício - Matriz de avaliação'!C48="","",'Exercício - Matriz de avaliação'!C48)</f>
        <v>Ordenar e organizar decisões no território costeiro para conservação do capital natural</v>
      </c>
      <c r="D46" s="57" t="str">
        <f>IF('Exercício - Matriz de avaliação'!D48="","",'Exercício - Matriz de avaliação'!D48)</f>
        <v>Ordenamento territorial costeiro</v>
      </c>
      <c r="E46" s="58" t="str">
        <f>IF('Exercício - Matriz de avaliação'!E48="","",'Exercício - Matriz de avaliação'!E48)</f>
        <v>Governo do Estado do Ceará – Secretaria do Meio Ambiente (SEMA/CE)</v>
      </c>
      <c r="F46" s="58" t="str">
        <f>IF('Exercício - Matriz de avaliação'!F48="","",'Exercício - Matriz de avaliação'!F48)</f>
        <v>22.156.351/0001-29</v>
      </c>
      <c r="G46" s="58" t="str">
        <f>IF('Exercício - Matriz de avaliação'!G48="","",'Exercício - Matriz de avaliação'!G48)</f>
        <v>10/03/2015</v>
      </c>
      <c r="H46" s="57" t="str">
        <f>IF('Exercício - Matriz de avaliação'!M48="","",'Exercício - Matriz de avaliação'!M48)</f>
        <v>Fortaleza</v>
      </c>
      <c r="I46" s="57" t="str">
        <f>IF('Exercício - Matriz de avaliação'!N48="","",'Exercício - Matriz de avaliação'!N48)</f>
        <v>CE</v>
      </c>
      <c r="J46" s="57" t="str">
        <f>IF('Exercício - Matriz de avaliação'!O48="","",'Exercício - Matriz de avaliação'!O48)</f>
        <v>Mata Atlântica</v>
      </c>
      <c r="K46" s="57" t="str">
        <f>IF('Exercício - Matriz de avaliação'!P48="","",'Exercício - Matriz de avaliação'!P48)</f>
        <v>Nova Infraestrutura Verde-Azul e Adaptação Climática</v>
      </c>
      <c r="L46" s="57" t="str">
        <f>IF('Exercício - Matriz de avaliação'!R48="","",'Exercício - Matriz de avaliação'!R48)</f>
        <v>Terciário</v>
      </c>
      <c r="M46" s="57" t="str">
        <f>IF('Exercício - Matriz de avaliação'!S48="","",'Exercício - Matriz de avaliação'!S48)</f>
        <v>Órgão Público do Poder Executivo Estadual</v>
      </c>
      <c r="N46" s="57" t="str">
        <f>IF('Exercício - Matriz de avaliação'!L48="","",'Exercício - Matriz de avaliação'!L48)</f>
        <v>Leide</v>
      </c>
      <c r="O46" s="59">
        <f>IF('Exercício - Matriz de avaliação'!J48="","",'Exercício - Matriz de avaliação'!J48)</f>
        <v>-3.7319</v>
      </c>
      <c r="P46" s="59">
        <f>IF('Exercício - Matriz de avaliação'!K48="","",'Exercício - Matriz de avaliação'!K48)</f>
        <v>-38.5267</v>
      </c>
      <c r="Q46" s="57">
        <f>IF('Exercício - Matriz de avaliação'!AE48="","",'Exercício - Matriz de avaliação'!AE48)</f>
        <v>0</v>
      </c>
    </row>
    <row r="47" ht="15.75" customHeight="1">
      <c r="A47" s="57">
        <f>IF('Exercício - Matriz de avaliação'!A49="","",'Exercício - Matriz de avaliação'!A49)</f>
        <v>46</v>
      </c>
      <c r="B47" s="57" t="str">
        <f>IF('Exercício - Matriz de avaliação'!B49="","",'Exercício - Matriz de avaliação'!B49)</f>
        <v>Sistema Metroviário do Ceará</v>
      </c>
      <c r="C47" s="57" t="str">
        <f>IF('Exercício - Matriz de avaliação'!C49="","",'Exercício - Matriz de avaliação'!C49)</f>
        <v>Oferecer transporte público sustentável e de baixo carbono</v>
      </c>
      <c r="D47" s="57" t="str">
        <f>IF('Exercício - Matriz de avaliação'!D49="","",'Exercício - Matriz de avaliação'!D49)</f>
        <v>Mobilidade urbana sustentável</v>
      </c>
      <c r="E47" s="58" t="str">
        <f>IF('Exercício - Matriz de avaliação'!E49="","",'Exercício - Matriz de avaliação'!E49)</f>
        <v>Governo do Estado do Ceará – Companhia Cearense de Transportes Metropolitanos (METROFOR)</v>
      </c>
      <c r="F47" s="58" t="str">
        <f>IF('Exercício - Matriz de avaliação'!F49="","",'Exercício - Matriz de avaliação'!F49)</f>
        <v>02.003.575/0001-93</v>
      </c>
      <c r="G47" s="58" t="str">
        <f>IF('Exercício - Matriz de avaliação'!G49="","",'Exercício - Matriz de avaliação'!G49)</f>
        <v>31/07/1997</v>
      </c>
      <c r="H47" s="57" t="str">
        <f>IF('Exercício - Matriz de avaliação'!M49="","",'Exercício - Matriz de avaliação'!M49)</f>
        <v>Fortaleza</v>
      </c>
      <c r="I47" s="57" t="str">
        <f>IF('Exercício - Matriz de avaliação'!N49="","",'Exercício - Matriz de avaliação'!N49)</f>
        <v>CE</v>
      </c>
      <c r="J47" s="57" t="str">
        <f>IF('Exercício - Matriz de avaliação'!O49="","",'Exercício - Matriz de avaliação'!O49)</f>
        <v>Mata Atlântica, Caatinga</v>
      </c>
      <c r="K47" s="57" t="str">
        <f>IF('Exercício - Matriz de avaliação'!P49="","",'Exercício - Matriz de avaliação'!P49)</f>
        <v>Nova Infraestrutura Verde-Azul e Adaptação Climática</v>
      </c>
      <c r="L47" s="57" t="str">
        <f>IF('Exercício - Matriz de avaliação'!R49="","",'Exercício - Matriz de avaliação'!R49)</f>
        <v>Terciário</v>
      </c>
      <c r="M47" s="57" t="str">
        <f>IF('Exercício - Matriz de avaliação'!S49="","",'Exercício - Matriz de avaliação'!S49)</f>
        <v>Sociedade de Economia Mista</v>
      </c>
      <c r="N47" s="57" t="str">
        <f>IF('Exercício - Matriz de avaliação'!L49="","",'Exercício - Matriz de avaliação'!L49)</f>
        <v>Leide</v>
      </c>
      <c r="O47" s="59">
        <f>IF('Exercício - Matriz de avaliação'!J49="","",'Exercício - Matriz de avaliação'!J49)</f>
        <v>-3.7319</v>
      </c>
      <c r="P47" s="59">
        <f>IF('Exercício - Matriz de avaliação'!K49="","",'Exercício - Matriz de avaliação'!K49)</f>
        <v>-38.5267</v>
      </c>
      <c r="Q47" s="57">
        <f>IF('Exercício - Matriz de avaliação'!AE49="","",'Exercício - Matriz de avaliação'!AE49)</f>
        <v>0</v>
      </c>
    </row>
    <row r="48" ht="15.75" customHeight="1">
      <c r="A48" s="57">
        <f>IF('Exercício - Matriz de avaliação'!A50="","",'Exercício - Matriz de avaliação'!A50)</f>
        <v>47</v>
      </c>
      <c r="B48" s="57" t="str">
        <f>IF('Exercício - Matriz de avaliação'!B50="","",'Exercício - Matriz de avaliação'!B50)</f>
        <v>Projeto Vale Sustentável</v>
      </c>
      <c r="C48" s="57" t="str">
        <f>IF('Exercício - Matriz de avaliação'!C50="","",'Exercício - Matriz de avaliação'!C50)</f>
        <v>Recuperar áreas degradadas e promover desenvolvimento territorial integrado</v>
      </c>
      <c r="D48" s="57" t="str">
        <f>IF('Exercício - Matriz de avaliação'!D50="","",'Exercício - Matriz de avaliação'!D50)</f>
        <v>Recuperação ambiental e bioeconomia</v>
      </c>
      <c r="E48" s="58" t="str">
        <f>IF('Exercício - Matriz de avaliação'!E50="","",'Exercício - Matriz de avaliação'!E50)</f>
        <v>Associação Norte-Rio-Grandense de Engenheiros Agrônomos</v>
      </c>
      <c r="F48" s="58" t="str">
        <f>IF('Exercício - Matriz de avaliação'!F50="","",'Exercício - Matriz de avaliação'!F50)</f>
        <v>08.381.188/0001-77</v>
      </c>
      <c r="G48" s="58" t="str">
        <f>IF('Exercício - Matriz de avaliação'!G50="","",'Exercício - Matriz de avaliação'!G50)</f>
        <v>01/12/1977</v>
      </c>
      <c r="H48" s="57" t="str">
        <f>IF('Exercício - Matriz de avaliação'!M50="","",'Exercício - Matriz de avaliação'!M50)</f>
        <v>Natal</v>
      </c>
      <c r="I48" s="57" t="str">
        <f>IF('Exercício - Matriz de avaliação'!N50="","",'Exercício - Matriz de avaliação'!N50)</f>
        <v>RN</v>
      </c>
      <c r="J48" s="57" t="str">
        <f>IF('Exercício - Matriz de avaliação'!O50="","",'Exercício - Matriz de avaliação'!O50)</f>
        <v>Caatinga</v>
      </c>
      <c r="K48" s="57" t="str">
        <f>IF('Exercício - Matriz de avaliação'!P50="","",'Exercício - Matriz de avaliação'!P50)</f>
        <v>Nova Infraestrutura Verde-Azul e Adaptação Climática</v>
      </c>
      <c r="L48" s="57" t="str">
        <f>IF('Exercício - Matriz de avaliação'!R50="","",'Exercício - Matriz de avaliação'!R50)</f>
        <v>Terciário</v>
      </c>
      <c r="M48" s="57" t="str">
        <f>IF('Exercício - Matriz de avaliação'!S50="","",'Exercício - Matriz de avaliação'!S50)</f>
        <v>Associação Privada</v>
      </c>
      <c r="N48" s="57" t="str">
        <f>IF('Exercício - Matriz de avaliação'!L50="","",'Exercício - Matriz de avaliação'!L50)</f>
        <v>Leide</v>
      </c>
      <c r="O48" s="59">
        <f>IF('Exercício - Matriz de avaliação'!J50="","",'Exercício - Matriz de avaliação'!J50)</f>
        <v>-5.7945</v>
      </c>
      <c r="P48" s="59">
        <f>IF('Exercício - Matriz de avaliação'!K50="","",'Exercício - Matriz de avaliação'!K50)</f>
        <v>-35.211</v>
      </c>
      <c r="Q48" s="57">
        <f>IF('Exercício - Matriz de avaliação'!AE50="","",'Exercício - Matriz de avaliação'!AE50)</f>
        <v>0</v>
      </c>
    </row>
    <row r="49" ht="15.75" customHeight="1">
      <c r="A49" s="57">
        <f>IF('Exercício - Matriz de avaliação'!A51="","",'Exercício - Matriz de avaliação'!A51)</f>
        <v>48</v>
      </c>
      <c r="B49" s="57" t="str">
        <f>IF('Exercício - Matriz de avaliação'!B51="","",'Exercício - Matriz de avaliação'!B51)</f>
        <v>Conecta Caatinga</v>
      </c>
      <c r="C49" s="57" t="str">
        <f>IF('Exercício - Matriz de avaliação'!C51="","",'Exercício - Matriz de avaliação'!C51)</f>
        <v>Criar corredores ecológicos conectando áreas protegidas da Caatinga</v>
      </c>
      <c r="D49" s="57" t="str">
        <f>IF('Exercício - Matriz de avaliação'!D51="","",'Exercício - Matriz de avaliação'!D51)</f>
        <v>Conservação da biodiversidade</v>
      </c>
      <c r="E49" s="58" t="str">
        <f>IF('Exercício - Matriz de avaliação'!E51="","",'Exercício - Matriz de avaliação'!E51)</f>
        <v>FunBio</v>
      </c>
      <c r="F49" s="58" t="str">
        <f>IF('Exercício - Matriz de avaliação'!F51="","",'Exercício - Matriz de avaliação'!F51)</f>
        <v>03.537.443/0001-04</v>
      </c>
      <c r="G49" s="58" t="str">
        <f>IF('Exercício - Matriz de avaliação'!G51="","",'Exercício - Matriz de avaliação'!G51)</f>
        <v>06/12/1999</v>
      </c>
      <c r="H49" s="57" t="str">
        <f>IF('Exercício - Matriz de avaliação'!M51="","",'Exercício - Matriz de avaliação'!M51)</f>
        <v>Rio de Janeiro</v>
      </c>
      <c r="I49" s="57" t="str">
        <f>IF('Exercício - Matriz de avaliação'!N51="","",'Exercício - Matriz de avaliação'!N51)</f>
        <v>MA, PI, PE, CE, BA, RN, AL, PB, SE</v>
      </c>
      <c r="J49" s="57" t="str">
        <f>IF('Exercício - Matriz de avaliação'!O51="","",'Exercício - Matriz de avaliação'!O51)</f>
        <v>Caatinga, Mata Atlântica</v>
      </c>
      <c r="K49" s="57" t="str">
        <f>IF('Exercício - Matriz de avaliação'!P51="","",'Exercício - Matriz de avaliação'!P51)</f>
        <v>Nova Infraestrutura Verde-Azul e Adaptação Climática</v>
      </c>
      <c r="L49" s="57" t="str">
        <f>IF('Exercício - Matriz de avaliação'!R51="","",'Exercício - Matriz de avaliação'!R51)</f>
        <v>Terciário</v>
      </c>
      <c r="M49" s="57" t="str">
        <f>IF('Exercício - Matriz de avaliação'!S51="","",'Exercício - Matriz de avaliação'!S51)</f>
        <v>Associação Privada</v>
      </c>
      <c r="N49" s="57" t="str">
        <f>IF('Exercício - Matriz de avaliação'!L51="","",'Exercício - Matriz de avaliação'!L51)</f>
        <v>Leide</v>
      </c>
      <c r="O49" s="59">
        <f>IF('Exercício - Matriz de avaliação'!J51="","",'Exercício - Matriz de avaliação'!J51)</f>
        <v>-22.9068</v>
      </c>
      <c r="P49" s="59">
        <f>IF('Exercício - Matriz de avaliação'!K51="","",'Exercício - Matriz de avaliação'!K51)</f>
        <v>-43.1729</v>
      </c>
      <c r="Q49" s="57">
        <f>IF('Exercício - Matriz de avaliação'!AE51="","",'Exercício - Matriz de avaliação'!AE51)</f>
        <v>0</v>
      </c>
    </row>
    <row r="50" ht="15.75" customHeight="1">
      <c r="A50" s="57">
        <f>IF('Exercício - Matriz de avaliação'!A52="","",'Exercício - Matriz de avaliação'!A52)</f>
        <v>49</v>
      </c>
      <c r="B50" s="57" t="str">
        <f>IF('Exercício - Matriz de avaliação'!B52="","",'Exercício - Matriz de avaliação'!B52)</f>
        <v>Projetos Rural Sustentável Caatinga e Desenvolvimento Agrícola Sustentável no Maranhão</v>
      </c>
      <c r="C50" s="57" t="str">
        <f>IF('Exercício - Matriz de avaliação'!C52="","",'Exercício - Matriz de avaliação'!C52)</f>
        <v>Promover adoção de tecnologias de baixa emissão de carbono</v>
      </c>
      <c r="D50" s="57" t="str">
        <f>IF('Exercício - Matriz de avaliação'!D52="","",'Exercício - Matriz de avaliação'!D52)</f>
        <v>Agricultura sustentável e baixo carbono</v>
      </c>
      <c r="E50" s="58" t="str">
        <f>IF('Exercício - Matriz de avaliação'!E52="","",'Exercício - Matriz de avaliação'!E52)</f>
        <v>Fundação Brasileira para o Desenvolvimento Sustentável (FBDS)</v>
      </c>
      <c r="F50" s="58" t="str">
        <f>IF('Exercício - Matriz de avaliação'!F52="","",'Exercício - Matriz de avaliação'!F52)</f>
        <v>40.390.569/0001-25</v>
      </c>
      <c r="G50" s="58" t="str">
        <f>IF('Exercício - Matriz de avaliação'!G52="","",'Exercício - Matriz de avaliação'!G52)</f>
        <v>12/02/1992</v>
      </c>
      <c r="H50" s="57" t="str">
        <f>IF('Exercício - Matriz de avaliação'!M52="","",'Exercício - Matriz de avaliação'!M52)</f>
        <v/>
      </c>
      <c r="I50" s="57" t="str">
        <f>IF('Exercício - Matriz de avaliação'!N52="","",'Exercício - Matriz de avaliação'!N52)</f>
        <v>MA</v>
      </c>
      <c r="J50" s="57" t="str">
        <f>IF('Exercício - Matriz de avaliação'!O52="","",'Exercício - Matriz de avaliação'!O52)</f>
        <v>Caatinga</v>
      </c>
      <c r="K50" s="57" t="str">
        <f>IF('Exercício - Matriz de avaliação'!P52="","",'Exercício - Matriz de avaliação'!P52)</f>
        <v>Nova Infraestrutura Verde-Azul e Adaptação Climática</v>
      </c>
      <c r="L50" s="57" t="str">
        <f>IF('Exercício - Matriz de avaliação'!R52="","",'Exercício - Matriz de avaliação'!R52)</f>
        <v>Terciário</v>
      </c>
      <c r="M50" s="57" t="str">
        <f>IF('Exercício - Matriz de avaliação'!S52="","",'Exercício - Matriz de avaliação'!S52)</f>
        <v>Empresa Pública</v>
      </c>
      <c r="N50" s="57" t="str">
        <f>IF('Exercício - Matriz de avaliação'!L52="","",'Exercício - Matriz de avaliação'!L52)</f>
        <v>Leide</v>
      </c>
      <c r="O50" s="58" t="str">
        <f>IF('Exercício - Matriz de avaliação'!J52="","",'Exercício - Matriz de avaliação'!J52)</f>
        <v>-230032</v>
      </c>
      <c r="P50" s="58" t="str">
        <f>IF('Exercício - Matriz de avaliação'!K52="","",'Exercício - Matriz de avaliação'!K52)</f>
        <v>-43.2786</v>
      </c>
      <c r="Q50" s="57">
        <f>IF('Exercício - Matriz de avaliação'!AE52="","",'Exercício - Matriz de avaliação'!AE52)</f>
        <v>0</v>
      </c>
    </row>
    <row r="51" ht="15.75" customHeight="1">
      <c r="A51" s="57">
        <f>IF('Exercício - Matriz de avaliação'!A53="","",'Exercício - Matriz de avaliação'!A53)</f>
        <v>50</v>
      </c>
      <c r="B51" s="57" t="str">
        <f>IF('Exercício - Matriz de avaliação'!B53="","",'Exercício - Matriz de avaliação'!B53)</f>
        <v>Plataforma Mulheres de Base Praticantes de Resiliência</v>
      </c>
      <c r="C51" s="57" t="str">
        <f>IF('Exercício - Matriz de avaliação'!C53="","",'Exercício - Matriz de avaliação'!C53)</f>
        <v>Promover empoderamento político e econômico de mulheres rurais com resiliência climática</v>
      </c>
      <c r="D51" s="57" t="str">
        <f>IF('Exercício - Matriz de avaliação'!D53="","",'Exercício - Matriz de avaliação'!D53)</f>
        <v>Gênero e adaptação climática</v>
      </c>
      <c r="E51" s="58" t="str">
        <f>IF('Exercício - Matriz de avaliação'!E53="","",'Exercício - Matriz de avaliação'!E53)</f>
        <v>Plataforma Mulheres de Base Praticantes de Resiliência (organização executora a confirmar)</v>
      </c>
      <c r="F51" s="58" t="str">
        <f>IF('Exercício - Matriz de avaliação'!F53="","",'Exercício - Matriz de avaliação'!F53)</f>
        <v>06.281.222/0001-06</v>
      </c>
      <c r="G51" s="58" t="str">
        <f>IF('Exercício - Matriz de avaliação'!G53="","",'Exercício - Matriz de avaliação'!G53)</f>
        <v>06/01/2004</v>
      </c>
      <c r="H51" s="57" t="str">
        <f>IF('Exercício - Matriz de avaliação'!M53="","",'Exercício - Matriz de avaliação'!M53)</f>
        <v>Pintadas</v>
      </c>
      <c r="I51" s="57" t="str">
        <f>IF('Exercício - Matriz de avaliação'!N53="","",'Exercício - Matriz de avaliação'!N53)</f>
        <v>PI, PE, CE, BA, RN, AL, PB, SE</v>
      </c>
      <c r="J51" s="57" t="str">
        <f>IF('Exercício - Matriz de avaliação'!O53="","",'Exercício - Matriz de avaliação'!O53)</f>
        <v>Caatinga</v>
      </c>
      <c r="K51" s="57" t="str">
        <f>IF('Exercício - Matriz de avaliação'!P53="","",'Exercício - Matriz de avaliação'!P53)</f>
        <v>Nova Infraestrutura Verde-Azul e Adaptação Climática</v>
      </c>
      <c r="L51" s="57" t="str">
        <f>IF('Exercício - Matriz de avaliação'!R53="","",'Exercício - Matriz de avaliação'!R53)</f>
        <v>Terciário</v>
      </c>
      <c r="M51" s="57" t="str">
        <f>IF('Exercício - Matriz de avaliação'!S53="","",'Exercício - Matriz de avaliação'!S53)</f>
        <v>Associação Privada</v>
      </c>
      <c r="N51" s="57" t="str">
        <f>IF('Exercício - Matriz de avaliação'!L53="","",'Exercício - Matriz de avaliação'!L53)</f>
        <v>Leide</v>
      </c>
      <c r="O51" s="59">
        <f>IF('Exercício - Matriz de avaliação'!J53="","",'Exercício - Matriz de avaliação'!J53)</f>
        <v>-11.8104</v>
      </c>
      <c r="P51" s="59">
        <f>IF('Exercício - Matriz de avaliação'!K53="","",'Exercício - Matriz de avaliação'!K53)</f>
        <v>-39.0833</v>
      </c>
      <c r="Q51" s="57">
        <f>IF('Exercício - Matriz de avaliação'!AE53="","",'Exercício - Matriz de avaliação'!AE53)</f>
        <v>0</v>
      </c>
    </row>
    <row r="52" ht="15.75" customHeight="1">
      <c r="A52" s="57">
        <f>IF('Exercício - Matriz de avaliação'!A54="","",'Exercício - Matriz de avaliação'!A54)</f>
        <v>51</v>
      </c>
      <c r="B52" s="57" t="str">
        <f>IF('Exercício - Matriz de avaliação'!B54="","",'Exercício - Matriz de avaliação'!B54)</f>
        <v>Sistema de Monitoramento e Alerta para a Cobertura Vegetal da Caatinga (SIMACaatinga)</v>
      </c>
      <c r="C52" s="57" t="str">
        <f>IF('Exercício - Matriz de avaliação'!C54="","",'Exercício - Matriz de avaliação'!C54)</f>
        <v>Desenvolver e operar um sistema de monitoramento contínuo da cobertura vegetal do bioma Caatinga</v>
      </c>
      <c r="D52" s="57" t="str">
        <f>IF('Exercício - Matriz de avaliação'!D54="","",'Exercício - Matriz de avaliação'!D54)</f>
        <v>Monitoramento ambiental e alerta precoce da degradação da Caatinga</v>
      </c>
      <c r="E52" s="58" t="str">
        <f>IF('Exercício - Matriz de avaliação'!E54="","",'Exercício - Matriz de avaliação'!E54)</f>
        <v>SIMACaatinga – sistema de monitoramento (instituição executora a confirmar)</v>
      </c>
      <c r="F52" s="58" t="str">
        <f>IF('Exercício - Matriz de avaliação'!F54="","",'Exercício - Matriz de avaliação'!F54)</f>
        <v>24.464.109/0001-48</v>
      </c>
      <c r="G52" s="58" t="str">
        <f>IF('Exercício - Matriz de avaliação'!G54="","",'Exercício - Matriz de avaliação'!G54)</f>
        <v> 03/10/1989 </v>
      </c>
      <c r="H52" s="57" t="str">
        <f>IF('Exercício - Matriz de avaliação'!M54="","",'Exercício - Matriz de avaliação'!M54)</f>
        <v>Maceió</v>
      </c>
      <c r="I52" s="57" t="str">
        <f>IF('Exercício - Matriz de avaliação'!N54="","",'Exercício - Matriz de avaliação'!N54)</f>
        <v>PI, PE, CE, BA, RN, AL, PB, SE</v>
      </c>
      <c r="J52" s="57" t="str">
        <f>IF('Exercício - Matriz de avaliação'!O54="","",'Exercício - Matriz de avaliação'!O54)</f>
        <v>Caatinga</v>
      </c>
      <c r="K52" s="57" t="str">
        <f>IF('Exercício - Matriz de avaliação'!P54="","",'Exercício - Matriz de avaliação'!P54)</f>
        <v>Nova Infraestrutura Verde-Azul e Adaptação Climática</v>
      </c>
      <c r="L52" s="57" t="str">
        <f>IF('Exercício - Matriz de avaliação'!R54="","",'Exercício - Matriz de avaliação'!R54)</f>
        <v>Terciário</v>
      </c>
      <c r="M52" s="57" t="str">
        <f>IF('Exercício - Matriz de avaliação'!S54="","",'Exercício - Matriz de avaliação'!S54)</f>
        <v>Associação Privada</v>
      </c>
      <c r="N52" s="57" t="str">
        <f>IF('Exercício - Matriz de avaliação'!L54="","",'Exercício - Matriz de avaliação'!L54)</f>
        <v>Leide</v>
      </c>
      <c r="O52" s="59">
        <f>IF('Exercício - Matriz de avaliação'!J54="","",'Exercício - Matriz de avaliação'!J54)</f>
        <v>-9.6498</v>
      </c>
      <c r="P52" s="59">
        <f>IF('Exercício - Matriz de avaliação'!K54="","",'Exercício - Matriz de avaliação'!K54)</f>
        <v>-35.7089</v>
      </c>
      <c r="Q52" s="57">
        <f>IF('Exercício - Matriz de avaliação'!AE54="","",'Exercício - Matriz de avaliação'!AE54)</f>
        <v>0</v>
      </c>
    </row>
    <row r="53" ht="15.75" customHeight="1">
      <c r="A53" s="57">
        <f>IF('Exercício - Matriz de avaliação'!A55="","",'Exercício - Matriz de avaliação'!A55)</f>
        <v>52</v>
      </c>
      <c r="B53" s="57" t="str">
        <f>IF('Exercício - Matriz de avaliação'!B55="","",'Exercício - Matriz de avaliação'!B55)</f>
        <v>Instituto Casaca de Couro</v>
      </c>
      <c r="C53" s="57" t="str">
        <f>IF('Exercício - Matriz de avaliação'!C55="","",'Exercício - Matriz de avaliação'!C55)</f>
        <v>Promover a produção sustentável de algodão orgânico e colorido no semiárido nordestino por meio de sistemas de agricultura regenerativa, envolvendo agricultores e agricultoras familiares numa cadeia produtiva integrada e certificada, conectando produção local a mercados nacionais e internacionais de moda sustentável.</v>
      </c>
      <c r="D53" s="57" t="str">
        <f>IF('Exercício - Matriz de avaliação'!D55="","",'Exercício - Matriz de avaliação'!D55)</f>
        <v>Agricultura regenerativa e bioeconomia inclusiva na cadeia do algodão orgânico.</v>
      </c>
      <c r="E53" s="58" t="str">
        <f>IF('Exercício - Matriz de avaliação'!E55="","",'Exercício - Matriz de avaliação'!E55)</f>
        <v>Instituto Casaca de Couro</v>
      </c>
      <c r="F53" s="58" t="str">
        <f>IF('Exercício - Matriz de avaliação'!F55="","",'Exercício - Matriz de avaliação'!F55)</f>
        <v>05.140.867/0001-66</v>
      </c>
      <c r="G53" s="58" t="str">
        <f>IF('Exercício - Matriz de avaliação'!G55="","",'Exercício - Matriz de avaliação'!G55)</f>
        <v>20/05/2002</v>
      </c>
      <c r="H53" s="57" t="str">
        <f>IF('Exercício - Matriz de avaliação'!M55="","",'Exercício - Matriz de avaliação'!M55)</f>
        <v>Pirpirituba</v>
      </c>
      <c r="I53" s="57" t="str">
        <f>IF('Exercício - Matriz de avaliação'!N55="","",'Exercício - Matriz de avaliação'!N55)</f>
        <v>PB, RN</v>
      </c>
      <c r="J53" s="57" t="str">
        <f>IF('Exercício - Matriz de avaliação'!O55="","",'Exercício - Matriz de avaliação'!O55)</f>
        <v>Caatinga</v>
      </c>
      <c r="K53" s="57" t="str">
        <f>IF('Exercício - Matriz de avaliação'!P55="","",'Exercício - Matriz de avaliação'!P55)</f>
        <v>Nova Infraestrutura Verde-Azul e Adaptação Climática</v>
      </c>
      <c r="L53" s="57" t="str">
        <f>IF('Exercício - Matriz de avaliação'!R55="","",'Exercício - Matriz de avaliação'!R55)</f>
        <v>Terciário</v>
      </c>
      <c r="M53" s="57" t="str">
        <f>IF('Exercício - Matriz de avaliação'!S55="","",'Exercício - Matriz de avaliação'!S55)</f>
        <v>Associação Privada</v>
      </c>
      <c r="N53" s="57" t="str">
        <f>IF('Exercício - Matriz de avaliação'!L55="","",'Exercício - Matriz de avaliação'!L55)</f>
        <v>Leide</v>
      </c>
      <c r="O53" s="59">
        <f>IF('Exercício - Matriz de avaliação'!J55="","",'Exercício - Matriz de avaliação'!J55)</f>
        <v>-6.7811</v>
      </c>
      <c r="P53" s="59">
        <f>IF('Exercício - Matriz de avaliação'!K55="","",'Exercício - Matriz de avaliação'!K55)</f>
        <v>-35.5128</v>
      </c>
      <c r="Q53" s="57">
        <f>IF('Exercício - Matriz de avaliação'!AE55="","",'Exercício - Matriz de avaliação'!AE55)</f>
        <v>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